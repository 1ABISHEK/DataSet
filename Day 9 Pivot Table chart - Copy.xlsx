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atej.bhogate\OneDrive - Mphasis\Desktop\ExcelR\Excel\"/>
    </mc:Choice>
  </mc:AlternateContent>
  <xr:revisionPtr revIDLastSave="0" documentId="13_ncr:1_{8181676D-7148-4355-B7D4-3DD714725438}" xr6:coauthVersionLast="47" xr6:coauthVersionMax="47" xr10:uidLastSave="{00000000-0000-0000-0000-000000000000}"/>
  <bookViews>
    <workbookView xWindow="-120" yWindow="-120" windowWidth="20730" windowHeight="11040" firstSheet="1" activeTab="6" xr2:uid="{00000000-000D-0000-FFFF-FFFF00000000}"/>
  </bookViews>
  <sheets>
    <sheet name="Region Wise Sales" sheetId="18" r:id="rId1"/>
    <sheet name="Sheet4" sheetId="20" r:id="rId2"/>
    <sheet name="Sheet5" sheetId="21" r:id="rId3"/>
    <sheet name="Sheet6" sheetId="22" r:id="rId4"/>
    <sheet name="Sheet7" sheetId="23" r:id="rId5"/>
    <sheet name="Sheet8" sheetId="24" r:id="rId6"/>
    <sheet name="% diff" sheetId="25" r:id="rId7"/>
    <sheet name="Product in Demands" sheetId="26" r:id="rId8"/>
    <sheet name="Top 3 SalesRe" sheetId="27" r:id="rId9"/>
    <sheet name="Data" sheetId="2" r:id="rId10"/>
    <sheet name="Info" sheetId="1" r:id="rId11"/>
    <sheet name="Grouping" sheetId="12" r:id="rId12"/>
    <sheet name="Claculated Fields-Items" sheetId="16" r:id="rId13"/>
  </sheets>
  <definedNames>
    <definedName name="Data">Table1[#All]</definedName>
  </definedNames>
  <calcPr calcId="191029"/>
  <pivotCaches>
    <pivotCache cacheId="0" r:id="rId14"/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</calcChain>
</file>

<file path=xl/sharedStrings.xml><?xml version="1.0" encoding="utf-8"?>
<sst xmlns="http://schemas.openxmlformats.org/spreadsheetml/2006/main" count="1508" uniqueCount="378">
  <si>
    <t>Pivot Table</t>
  </si>
  <si>
    <t>Check no merged field headings</t>
  </si>
  <si>
    <t>Select the data with field heading</t>
  </si>
  <si>
    <t>Insert tab--&gt;Pivot chart / Pivot Chart and Table</t>
  </si>
  <si>
    <t>TransactionID</t>
  </si>
  <si>
    <t>Order Date</t>
  </si>
  <si>
    <t>Product</t>
  </si>
  <si>
    <t>Region</t>
  </si>
  <si>
    <t>SalesRep</t>
  </si>
  <si>
    <t>Customer</t>
  </si>
  <si>
    <t>Order Quantity</t>
  </si>
  <si>
    <t>Sales</t>
  </si>
  <si>
    <t>COGS</t>
  </si>
  <si>
    <t>SEAA2013</t>
  </si>
  <si>
    <t>Sauvignon Blanc</t>
  </si>
  <si>
    <t>East</t>
  </si>
  <si>
    <t>Sean</t>
  </si>
  <si>
    <t>AA</t>
  </si>
  <si>
    <t>GEKB2010</t>
  </si>
  <si>
    <t>Chardonnay</t>
  </si>
  <si>
    <t>Gerald</t>
  </si>
  <si>
    <t>KBTB</t>
  </si>
  <si>
    <t>PAAS2010</t>
  </si>
  <si>
    <t>Reisling</t>
  </si>
  <si>
    <t>Pam</t>
  </si>
  <si>
    <t>AST</t>
  </si>
  <si>
    <t>PASF2012</t>
  </si>
  <si>
    <t>SFWK</t>
  </si>
  <si>
    <t>PAFM2013</t>
  </si>
  <si>
    <t>FM</t>
  </si>
  <si>
    <t>KAFM2010</t>
  </si>
  <si>
    <t>Kayen</t>
  </si>
  <si>
    <t>PAWS2012</t>
  </si>
  <si>
    <t>WSD</t>
  </si>
  <si>
    <t>SEPC2013</t>
  </si>
  <si>
    <t>PCC</t>
  </si>
  <si>
    <t>SEBB2011</t>
  </si>
  <si>
    <t>BBT</t>
  </si>
  <si>
    <t>PATT2010</t>
  </si>
  <si>
    <t>North</t>
  </si>
  <si>
    <t>TTT</t>
  </si>
  <si>
    <t>FRET2013</t>
  </si>
  <si>
    <t>Franks</t>
  </si>
  <si>
    <t>ET</t>
  </si>
  <si>
    <t>FRIT2011</t>
  </si>
  <si>
    <t>Pinot Gris</t>
  </si>
  <si>
    <t>ITTW</t>
  </si>
  <si>
    <t>FRPS2012</t>
  </si>
  <si>
    <t>PSA</t>
  </si>
  <si>
    <t>WIQT2010</t>
  </si>
  <si>
    <t>Wilbur</t>
  </si>
  <si>
    <t>QT</t>
  </si>
  <si>
    <t>SEKP2013</t>
  </si>
  <si>
    <t>KPSA</t>
  </si>
  <si>
    <t>FRHH2011</t>
  </si>
  <si>
    <t>HHH</t>
  </si>
  <si>
    <t>SEPC2010</t>
  </si>
  <si>
    <t>PAT2013</t>
  </si>
  <si>
    <t>T</t>
  </si>
  <si>
    <t>PAWT2011</t>
  </si>
  <si>
    <t>WT</t>
  </si>
  <si>
    <t>WIT2010</t>
  </si>
  <si>
    <t>KAHI2011</t>
  </si>
  <si>
    <t>HII</t>
  </si>
  <si>
    <t>FRWS2013</t>
  </si>
  <si>
    <t>PAEP2013</t>
  </si>
  <si>
    <t>EPP</t>
  </si>
  <si>
    <t>WIPC2011</t>
  </si>
  <si>
    <t>KAWS2011</t>
  </si>
  <si>
    <t>SEQT2011</t>
  </si>
  <si>
    <t>GETR2012</t>
  </si>
  <si>
    <t>TRU</t>
  </si>
  <si>
    <t>PAAA2012</t>
  </si>
  <si>
    <t>WIDF2012</t>
  </si>
  <si>
    <t>DFR</t>
  </si>
  <si>
    <t>WIMB2010</t>
  </si>
  <si>
    <t>West</t>
  </si>
  <si>
    <t>MBG</t>
  </si>
  <si>
    <t>GEFM2013</t>
  </si>
  <si>
    <t>WITT2010</t>
  </si>
  <si>
    <t>KATR2012</t>
  </si>
  <si>
    <t>SEMB2011</t>
  </si>
  <si>
    <t>WIKB2012</t>
  </si>
  <si>
    <t>FRIT2013</t>
  </si>
  <si>
    <t>ITW</t>
  </si>
  <si>
    <t>WIBB2013</t>
  </si>
  <si>
    <t>GEIT2011</t>
  </si>
  <si>
    <t>KAWT2013</t>
  </si>
  <si>
    <t>PAPL2011</t>
  </si>
  <si>
    <t>PLOT</t>
  </si>
  <si>
    <t>PAPS2012</t>
  </si>
  <si>
    <t>PAPS2010</t>
  </si>
  <si>
    <t>WIFM2013</t>
  </si>
  <si>
    <t>FRJA2011</t>
  </si>
  <si>
    <t>JAQ</t>
  </si>
  <si>
    <t>GEAS2010</t>
  </si>
  <si>
    <t>KAYT2011</t>
  </si>
  <si>
    <t>YTR</t>
  </si>
  <si>
    <t>SEYT2010</t>
  </si>
  <si>
    <t>South</t>
  </si>
  <si>
    <t>FRHI2012</t>
  </si>
  <si>
    <t>GESF2010</t>
  </si>
  <si>
    <t>KAEP2013</t>
  </si>
  <si>
    <t>FRHH2010</t>
  </si>
  <si>
    <t>KAPC2013</t>
  </si>
  <si>
    <t>FRAA2013</t>
  </si>
  <si>
    <t>FRDF2012</t>
  </si>
  <si>
    <t>DFGH</t>
  </si>
  <si>
    <t>GEMN2013</t>
  </si>
  <si>
    <t>MNGD</t>
  </si>
  <si>
    <t>PADF2010</t>
  </si>
  <si>
    <t>KAPC2012</t>
  </si>
  <si>
    <t>WIPL2011</t>
  </si>
  <si>
    <t>WIYT2013</t>
  </si>
  <si>
    <t>SEAS2010</t>
  </si>
  <si>
    <t>SET2010</t>
  </si>
  <si>
    <t>KAET2013</t>
  </si>
  <si>
    <t>GEPS2013</t>
  </si>
  <si>
    <t>SEYT2013</t>
  </si>
  <si>
    <t>KAFM2011</t>
  </si>
  <si>
    <t>PADF2012</t>
  </si>
  <si>
    <t>WIQT2012</t>
  </si>
  <si>
    <t>PAHH2012</t>
  </si>
  <si>
    <t>WITR2011</t>
  </si>
  <si>
    <t>GEIT2010</t>
  </si>
  <si>
    <t>FRFM2011</t>
  </si>
  <si>
    <t>WIKB2013</t>
  </si>
  <si>
    <t>PAAS2012</t>
  </si>
  <si>
    <t>SEYT2011</t>
  </si>
  <si>
    <t>WIWT2012</t>
  </si>
  <si>
    <t>FRPC2013</t>
  </si>
  <si>
    <t>GEDF2013</t>
  </si>
  <si>
    <t>PAWT2010</t>
  </si>
  <si>
    <t>KAT2010</t>
  </si>
  <si>
    <t>FRBB2012</t>
  </si>
  <si>
    <t>GEHI2013</t>
  </si>
  <si>
    <t>FRJA2013</t>
  </si>
  <si>
    <t>KAKP2012</t>
  </si>
  <si>
    <t>GEPS2010</t>
  </si>
  <si>
    <t>SEDF2012</t>
  </si>
  <si>
    <t>PAFR2013</t>
  </si>
  <si>
    <t>FRED</t>
  </si>
  <si>
    <t>GEQT2010</t>
  </si>
  <si>
    <t>WIZA2012</t>
  </si>
  <si>
    <t>ZAT</t>
  </si>
  <si>
    <t>FRMN2012</t>
  </si>
  <si>
    <t>FRYT2012</t>
  </si>
  <si>
    <t>SEQT2012</t>
  </si>
  <si>
    <t>WIFR2010</t>
  </si>
  <si>
    <t>WILO2013</t>
  </si>
  <si>
    <t>LOP</t>
  </si>
  <si>
    <t>KAAS2012</t>
  </si>
  <si>
    <t>GEPL2011</t>
  </si>
  <si>
    <t>SETT2013</t>
  </si>
  <si>
    <t>Order ID</t>
  </si>
  <si>
    <t>Ship Date</t>
  </si>
  <si>
    <t>Ship Mode</t>
  </si>
  <si>
    <t>Customer ID</t>
  </si>
  <si>
    <t>Customer Name</t>
  </si>
  <si>
    <t>Segment</t>
  </si>
  <si>
    <t>Country</t>
  </si>
  <si>
    <t>Category</t>
  </si>
  <si>
    <t>Sub-Category</t>
  </si>
  <si>
    <t>Quantity</t>
  </si>
  <si>
    <t>Profit</t>
  </si>
  <si>
    <t>Shipping Cost</t>
  </si>
  <si>
    <t>CA-2012-124891</t>
  </si>
  <si>
    <t>Same Day</t>
  </si>
  <si>
    <t>RH-19495</t>
  </si>
  <si>
    <t>Rick Hansen</t>
  </si>
  <si>
    <t>Consumer</t>
  </si>
  <si>
    <t>United States</t>
  </si>
  <si>
    <t>Technology</t>
  </si>
  <si>
    <t>Accessories</t>
  </si>
  <si>
    <t>IN-2013-77878</t>
  </si>
  <si>
    <t>Second Class</t>
  </si>
  <si>
    <t>JR-16210</t>
  </si>
  <si>
    <t>Justin Ritter</t>
  </si>
  <si>
    <t>Corporate</t>
  </si>
  <si>
    <t>Australia</t>
  </si>
  <si>
    <t>Furniture</t>
  </si>
  <si>
    <t>Chairs</t>
  </si>
  <si>
    <t>IN-2013-71249</t>
  </si>
  <si>
    <t>First Class</t>
  </si>
  <si>
    <t>CR-12730</t>
  </si>
  <si>
    <t>Craig Reiter</t>
  </si>
  <si>
    <t>Phones</t>
  </si>
  <si>
    <t>ES-2013-1579342</t>
  </si>
  <si>
    <t>KM-16375</t>
  </si>
  <si>
    <t>Katherine Murray</t>
  </si>
  <si>
    <t>Home Office</t>
  </si>
  <si>
    <t>Germany</t>
  </si>
  <si>
    <t>SG-2013-4320</t>
  </si>
  <si>
    <t>RH-9495</t>
  </si>
  <si>
    <t>Senegal</t>
  </si>
  <si>
    <t>Copiers</t>
  </si>
  <si>
    <t>IN-2013-42360</t>
  </si>
  <si>
    <t>JM-15655</t>
  </si>
  <si>
    <t>Jim Mitchum</t>
  </si>
  <si>
    <t>IN-2011-81826</t>
  </si>
  <si>
    <t>TS-21340</t>
  </si>
  <si>
    <t>Toby Swindell</t>
  </si>
  <si>
    <t>New Zealand</t>
  </si>
  <si>
    <t>IN-2012-86369</t>
  </si>
  <si>
    <t>Standard Class</t>
  </si>
  <si>
    <t>MB-18085</t>
  </si>
  <si>
    <t>Mick Brown</t>
  </si>
  <si>
    <t>Tables</t>
  </si>
  <si>
    <t>CA-2014-135909</t>
  </si>
  <si>
    <t>JW-15220</t>
  </si>
  <si>
    <t>Jane Waco</t>
  </si>
  <si>
    <t>Office Supplies</t>
  </si>
  <si>
    <t>Binders</t>
  </si>
  <si>
    <t>CA-2012-116638</t>
  </si>
  <si>
    <t>JH-15985</t>
  </si>
  <si>
    <t>Joseph Holt</t>
  </si>
  <si>
    <t>CA-2011-102988</t>
  </si>
  <si>
    <t>GM-14695</t>
  </si>
  <si>
    <t>Greg Maxwell</t>
  </si>
  <si>
    <t>Supplies</t>
  </si>
  <si>
    <t>ID-2012-28402</t>
  </si>
  <si>
    <t>AJ-10780</t>
  </si>
  <si>
    <t>Anthony Jacobs</t>
  </si>
  <si>
    <t>Afghanistan</t>
  </si>
  <si>
    <t>SA-2011-1830</t>
  </si>
  <si>
    <t>MM-7260</t>
  </si>
  <si>
    <t>Magdelene Morse</t>
  </si>
  <si>
    <t>Saudi Arabia</t>
  </si>
  <si>
    <t>MX-2012-130015</t>
  </si>
  <si>
    <t>VF-21715</t>
  </si>
  <si>
    <t>Vicky Freymann</t>
  </si>
  <si>
    <t>Brazil</t>
  </si>
  <si>
    <t>IN-2013-73951</t>
  </si>
  <si>
    <t>PF-19120</t>
  </si>
  <si>
    <t>Peter Fuller</t>
  </si>
  <si>
    <t>China</t>
  </si>
  <si>
    <t>Appliances</t>
  </si>
  <si>
    <t>ES-2014-5099955</t>
  </si>
  <si>
    <t>BP-11185</t>
  </si>
  <si>
    <t>Ben Peterman</t>
  </si>
  <si>
    <t>France</t>
  </si>
  <si>
    <t>CA-2014-143567</t>
  </si>
  <si>
    <t>TB-21175</t>
  </si>
  <si>
    <t>Thomas Boland</t>
  </si>
  <si>
    <t>ES-2014-1651774</t>
  </si>
  <si>
    <t>PJ-18835</t>
  </si>
  <si>
    <t>Patrick Jones</t>
  </si>
  <si>
    <t>Italy</t>
  </si>
  <si>
    <t>IN-2014-11763</t>
  </si>
  <si>
    <t>JS-15685</t>
  </si>
  <si>
    <t>Jim Sink</t>
  </si>
  <si>
    <t>TZ-2014-8190</t>
  </si>
  <si>
    <t>RH-9555</t>
  </si>
  <si>
    <t>Ritsa Hightower</t>
  </si>
  <si>
    <t>Tanzania</t>
  </si>
  <si>
    <t>PL-2012-7820</t>
  </si>
  <si>
    <t>AB-600</t>
  </si>
  <si>
    <t>Ann Blume</t>
  </si>
  <si>
    <t>Poland</t>
  </si>
  <si>
    <t>CA-2011-154627</t>
  </si>
  <si>
    <t>SA-20830</t>
  </si>
  <si>
    <t>Sue Ann Reed</t>
  </si>
  <si>
    <t>IN-2011-44803</t>
  </si>
  <si>
    <t>JK-15325</t>
  </si>
  <si>
    <t>Jason Klamczynski</t>
  </si>
  <si>
    <t>ES-2013-2860574</t>
  </si>
  <si>
    <t>LB-16795</t>
  </si>
  <si>
    <t>Laurel Beltran</t>
  </si>
  <si>
    <t>United Kingdom</t>
  </si>
  <si>
    <t>US-2014-133193</t>
  </si>
  <si>
    <t>NP-18325</t>
  </si>
  <si>
    <t>Naresj Patel</t>
  </si>
  <si>
    <t>Mexico</t>
  </si>
  <si>
    <t>MX-2014-165309</t>
  </si>
  <si>
    <t>VD-21670</t>
  </si>
  <si>
    <t>Valerie Dominguez</t>
  </si>
  <si>
    <t>El Salvador</t>
  </si>
  <si>
    <t>IN-2011-10286</t>
  </si>
  <si>
    <t>PB-19210</t>
  </si>
  <si>
    <t>Phillip Breyer</t>
  </si>
  <si>
    <t>Taiwan</t>
  </si>
  <si>
    <t>ES-2011-4699764</t>
  </si>
  <si>
    <t>EB-14110</t>
  </si>
  <si>
    <t>Eugene Barchas</t>
  </si>
  <si>
    <t>CA-2013-159016</t>
  </si>
  <si>
    <t>KF-16285</t>
  </si>
  <si>
    <t>Karen Ferguson</t>
  </si>
  <si>
    <t>IN-2012-44810</t>
  </si>
  <si>
    <t>BP-11230</t>
  </si>
  <si>
    <t>Benjamin Patterson</t>
  </si>
  <si>
    <t>India</t>
  </si>
  <si>
    <t>US-2011-128776</t>
  </si>
  <si>
    <t>RR-19525</t>
  </si>
  <si>
    <t>Rick Reed</t>
  </si>
  <si>
    <t>Dominican Republic</t>
  </si>
  <si>
    <t>ES-2012-5870268</t>
  </si>
  <si>
    <t>BS-11365</t>
  </si>
  <si>
    <t>Bill Shonely</t>
  </si>
  <si>
    <t>Machines</t>
  </si>
  <si>
    <t>CA-2012-139731</t>
  </si>
  <si>
    <t>JE-15745</t>
  </si>
  <si>
    <t>Joel Eaton</t>
  </si>
  <si>
    <t>IN-2011-28087</t>
  </si>
  <si>
    <t>DP-13105</t>
  </si>
  <si>
    <t>Dave Poirier</t>
  </si>
  <si>
    <t>CA-2011-168494</t>
  </si>
  <si>
    <t>NP-18700</t>
  </si>
  <si>
    <t>Nora Preis</t>
  </si>
  <si>
    <t>CG-2011-8610</t>
  </si>
  <si>
    <t>AH-30</t>
  </si>
  <si>
    <t>Aaron Hawkins</t>
  </si>
  <si>
    <t>Democratic Republic of the Congo</t>
  </si>
  <si>
    <t>CA-2011-160766</t>
  </si>
  <si>
    <t>DM-13015</t>
  </si>
  <si>
    <t>Darrin Martin</t>
  </si>
  <si>
    <t>US-2014-168116</t>
  </si>
  <si>
    <t>GT-14635</t>
  </si>
  <si>
    <t>Grant Thornton</t>
  </si>
  <si>
    <t>ES-2014-2637201</t>
  </si>
  <si>
    <t>PO-18865</t>
  </si>
  <si>
    <t>Patrick O'Donnell</t>
  </si>
  <si>
    <t>IN-2011-61302</t>
  </si>
  <si>
    <t>DL-12865</t>
  </si>
  <si>
    <t>Dan Lawera</t>
  </si>
  <si>
    <t>ID-2013-63976</t>
  </si>
  <si>
    <t>JB-16000</t>
  </si>
  <si>
    <t>Joy Bell-</t>
  </si>
  <si>
    <t>Indonesia</t>
  </si>
  <si>
    <t>IN-2014-37320</t>
  </si>
  <si>
    <t>BF-11005</t>
  </si>
  <si>
    <t>Barry Franz</t>
  </si>
  <si>
    <t>IN-2014-76016</t>
  </si>
  <si>
    <t>VG-21805</t>
  </si>
  <si>
    <t>Vivek Grady</t>
  </si>
  <si>
    <t>Bookcases</t>
  </si>
  <si>
    <t>ES-2012-5877219</t>
  </si>
  <si>
    <t>GT-14710</t>
  </si>
  <si>
    <t>Greg Tran</t>
  </si>
  <si>
    <t>IT-2011-3183678</t>
  </si>
  <si>
    <t>ZC-21910</t>
  </si>
  <si>
    <t>Zuschuss Carroll</t>
  </si>
  <si>
    <t>CA-2011-116904</t>
  </si>
  <si>
    <t>SC-20095</t>
  </si>
  <si>
    <t>Sanjit Chand</t>
  </si>
  <si>
    <t>IT-2013-3085011</t>
  </si>
  <si>
    <t>EB-13840</t>
  </si>
  <si>
    <t>Ellis Ballard</t>
  </si>
  <si>
    <t>IN-2014-50473</t>
  </si>
  <si>
    <t>AP-10915</t>
  </si>
  <si>
    <t>Arthur Prichep</t>
  </si>
  <si>
    <t>IN-2014-35983</t>
  </si>
  <si>
    <t>SW-20275</t>
  </si>
  <si>
    <t>Scott Williamson</t>
  </si>
  <si>
    <t>MX-2014-126984</t>
  </si>
  <si>
    <t>JH-15820</t>
  </si>
  <si>
    <t>John Huston</t>
  </si>
  <si>
    <t>Uruguay</t>
  </si>
  <si>
    <t>Status</t>
  </si>
  <si>
    <t>Shipped</t>
  </si>
  <si>
    <t>Cancelled</t>
  </si>
  <si>
    <t>Pending</t>
  </si>
  <si>
    <t>Sum of Sales</t>
  </si>
  <si>
    <t>Row Labels</t>
  </si>
  <si>
    <t>Grand Total</t>
  </si>
  <si>
    <t>Column Labels</t>
  </si>
  <si>
    <t>2010</t>
  </si>
  <si>
    <t>2011</t>
  </si>
  <si>
    <t>2012</t>
  </si>
  <si>
    <t>2013</t>
  </si>
  <si>
    <t>Count of TransactionID</t>
  </si>
  <si>
    <t xml:space="preserve"> </t>
  </si>
  <si>
    <t>Year</t>
  </si>
  <si>
    <t>Average of Sales</t>
  </si>
  <si>
    <t xml:space="preserve">% contribution of each region in total sales </t>
  </si>
  <si>
    <t xml:space="preserve">  </t>
  </si>
  <si>
    <t>Sales Representatives</t>
  </si>
  <si>
    <t>Total Sales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</si>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</sst>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[$$-409]* #,##0.00_);_([$$-409]* \(#,##0.00\);_([$$-409]* &quot;-&quot;??_);_(@_)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4" fontId="3" fillId="0" borderId="1" xfId="0" applyNumberFormat="1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3" borderId="0" xfId="0" applyFont="1" applyFill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14" fontId="2" fillId="2" borderId="5" xfId="0" applyNumberFormat="1" applyFont="1" applyFill="1" applyBorder="1"/>
    <xf numFmtId="14" fontId="0" fillId="0" borderId="0" xfId="0" applyNumberFormat="1"/>
    <xf numFmtId="1" fontId="2" fillId="2" borderId="5" xfId="0" applyNumberFormat="1" applyFont="1" applyFill="1" applyBorder="1"/>
    <xf numFmtId="1" fontId="3" fillId="0" borderId="1" xfId="0" applyNumberFormat="1" applyFont="1" applyBorder="1"/>
    <xf numFmtId="1" fontId="0" fillId="0" borderId="0" xfId="0" applyNumberFormat="1"/>
    <xf numFmtId="164" fontId="2" fillId="2" borderId="5" xfId="0" applyNumberFormat="1" applyFont="1" applyFill="1" applyBorder="1"/>
    <xf numFmtId="164" fontId="3" fillId="0" borderId="1" xfId="0" applyNumberFormat="1" applyFont="1" applyBorder="1"/>
    <xf numFmtId="164" fontId="0" fillId="0" borderId="0" xfId="0" applyNumberFormat="1"/>
    <xf numFmtId="164" fontId="2" fillId="2" borderId="6" xfId="0" applyNumberFormat="1" applyFont="1" applyFill="1" applyBorder="1"/>
    <xf numFmtId="164" fontId="3" fillId="0" borderId="3" xfId="0" applyNumberFormat="1" applyFont="1" applyBorder="1"/>
    <xf numFmtId="14" fontId="3" fillId="0" borderId="2" xfId="0" applyNumberFormat="1" applyFont="1" applyBorder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([$$-409]* #,##0.00_);_([$$-409]* \(#,##0.00\);_([$$-409]* &quot;-&quot;??_);_(@_)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([$$-409]* #,##0.00_);_([$$-409]* \(#,##0.00\);_([$$-409]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80808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z val="12"/>
        <color theme="1"/>
        <name val="Calibri"/>
        <family val="2"/>
        <scheme val="minor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2" defaultTableStyle="TableStyleMedium2" defaultPivotStyle="PivotStyleLight16">
    <tableStyle name="My sclicer" pivot="0" table="0" count="4" xr9:uid="{58AB5C91-8FF6-4269-AFC7-EF2CDD79BD0A}"/>
    <tableStyle name="Timeline Style 1" pivot="0" table="0" count="8" xr9:uid="{B21DF1E1-F874-4BF3-B5EE-DD925E8CD1C2}">
      <tableStyleElement type="wholeTable" dxfId="16"/>
      <tableStyleElement type="headerRow" dxfId="15"/>
    </tableStyle>
  </tableStyles>
  <extLst>
    <ext xmlns:x14="http://schemas.microsoft.com/office/spreadsheetml/2009/9/main" uri="{46F421CA-312F-682f-3DD2-61675219B42D}">
      <x14:dxfs count="4">
        <dxf>
          <fill>
            <patternFill>
              <bgColor theme="9" tint="-0.24994659260841701"/>
            </patternFill>
          </fill>
        </dxf>
        <dxf>
          <fill>
            <patternFill>
              <bgColor theme="9" tint="0.39994506668294322"/>
            </patternFill>
          </fill>
        </dxf>
        <dxf>
          <fill>
            <patternFill>
              <bgColor theme="4" tint="0.79998168889431442"/>
            </patternFill>
          </fill>
        </dxf>
        <dxf>
          <fill>
            <patternFill>
              <bgColor theme="7" tint="0.3999450666829432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My sclicer">
          <x14:slicerStyleElements>
            <x14:slicerStyleElement type="selectedItemWithData" dxfId="3"/>
            <x14:slicerStyleElement type="selectedItemWithNo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9 Pivot Table chart - Copy.xlsx]Region Wise Sales!PivotTable16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Wise Sales</a:t>
            </a:r>
            <a:endParaRPr lang="en-US"/>
          </a:p>
        </c:rich>
      </c:tx>
      <c:layout>
        <c:manualLayout>
          <c:xMode val="edge"/>
          <c:yMode val="edge"/>
          <c:x val="0.35819444444444437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Wise Sales'!$A$4:$A$8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Wise Sales'!$B$4:$B$8</c:f>
              <c:numCache>
                <c:formatCode>_([$$-409]* #,##0.00_);_([$$-409]* \(#,##0.00\);_([$$-409]* "-"??_);_(@_)</c:formatCode>
                <c:ptCount val="4"/>
                <c:pt idx="0">
                  <c:v>11187.200000000003</c:v>
                </c:pt>
                <c:pt idx="1">
                  <c:v>15100.080000000002</c:v>
                </c:pt>
                <c:pt idx="2">
                  <c:v>42537.09</c:v>
                </c:pt>
                <c:pt idx="3">
                  <c:v>13740.409999999998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C-4425-B1AB-0E562A3EFC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9452704"/>
        <c:axId val="419454624"/>
      </c:barChart>
      <c:catAx>
        <c:axId val="41945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54624"/>
        <c:crosses val="autoZero"/>
        <c:auto val="1"/>
        <c:lblAlgn val="ctr"/>
        <c:lblOffset val="100"/>
        <c:noMultiLvlLbl val="0"/>
      </c:catAx>
      <c:valAx>
        <c:axId val="419454624"/>
        <c:scaling>
          <c:orientation val="minMax"/>
        </c:scaling>
        <c:delete val="1"/>
        <c:axPos val="l"/>
        <c:numFmt formatCode="_([$$-409]* #,##0.00_);_([$$-409]* \(#,##0.00\);_([$$-409]* &quot;-&quot;??_);_(@_)" sourceLinked="1"/>
        <c:majorTickMark val="none"/>
        <c:minorTickMark val="none"/>
        <c:tickLblPos val="nextTo"/>
        <c:crossAx val="41945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9 Pivot Table chart - Copy.xlsx]Sheet4!PivotTable18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strCache>
            </c:strRef>
          </c:cat>
          <c:val>
            <c:numRef>
              <c:f>Sheet4!$B$4:$B$8</c:f>
              <c:numCache>
                <c:formatCode>_([$$-409]* #,##0.00_);_([$$-409]* \(#,##0.00\);_([$$-409]* "-"??_);_(@_)</c:formatCode>
                <c:ptCount val="4"/>
                <c:pt idx="0">
                  <c:v>22505.139999999996</c:v>
                </c:pt>
                <c:pt idx="1">
                  <c:v>13240.1</c:v>
                </c:pt>
                <c:pt idx="2">
                  <c:v>20129.649999999994</c:v>
                </c:pt>
                <c:pt idx="3">
                  <c:v>26689.890000000014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0-4439-B636-BEA7DE873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503584"/>
        <c:axId val="419477184"/>
      </c:barChart>
      <c:catAx>
        <c:axId val="41950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77184"/>
        <c:crosses val="autoZero"/>
        <c:auto val="1"/>
        <c:lblAlgn val="ctr"/>
        <c:lblOffset val="100"/>
        <c:noMultiLvlLbl val="0"/>
      </c:catAx>
      <c:valAx>
        <c:axId val="4194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0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9 Pivot Table chart - Copy.xlsx]Sheet5!PivotTable19</c:name>
    <c:fmtId val="2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Sheet5!$A$4:$A$8</c:f>
              <c:strCach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strCache>
            </c:strRef>
          </c:cat>
          <c:val>
            <c:numRef>
              <c:f>Sheet5!$B$4:$B$8</c:f>
              <c:numCache>
                <c:formatCode>_([$$-409]* #,##0.00_);_([$$-409]* \(#,##0.00\);_([$$-409]* "-"??_);_(@_)</c:formatCode>
                <c:ptCount val="4"/>
                <c:pt idx="0">
                  <c:v>22505.139999999996</c:v>
                </c:pt>
                <c:pt idx="1">
                  <c:v>13240.1</c:v>
                </c:pt>
                <c:pt idx="2">
                  <c:v>20129.649999999994</c:v>
                </c:pt>
                <c:pt idx="3">
                  <c:v>26689.890000000014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7D-4930-A941-55A1F60B132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19526624"/>
        <c:axId val="419515104"/>
      </c:lineChart>
      <c:catAx>
        <c:axId val="4195266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9515104"/>
        <c:crosses val="autoZero"/>
        <c:auto val="1"/>
        <c:lblAlgn val="ctr"/>
        <c:lblOffset val="100"/>
        <c:noMultiLvlLbl val="0"/>
      </c:catAx>
      <c:valAx>
        <c:axId val="419515104"/>
        <c:scaling>
          <c:orientation val="minMax"/>
        </c:scaling>
        <c:delete val="1"/>
        <c:axPos val="l"/>
        <c:numFmt formatCode="_([$$-409]* #,##0.00_);_([$$-409]* \(#,##0.00\);_([$$-409]* &quot;-&quot;??_);_(@_)" sourceLinked="1"/>
        <c:majorTickMark val="none"/>
        <c:minorTickMark val="none"/>
        <c:tickLblPos val="nextTo"/>
        <c:crossAx val="41952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9 Pivot Table chart - Copy.xlsx]Sheet6!PivotTable20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Sheet6!$B$3:$B$5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Sheet6!$B$6:$B$10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11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6-4837-9212-DED85108C196}"/>
            </c:ext>
          </c:extLst>
        </c:ser>
        <c:ser>
          <c:idx val="1"/>
          <c:order val="1"/>
          <c:tx>
            <c:strRef>
              <c:f>Sheet6!$C$3:$C$5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Sheet6!$C$6:$C$10</c:f>
              <c:numCache>
                <c:formatCode>General</c:formatCode>
                <c:ptCount val="4"/>
                <c:pt idx="0">
                  <c:v>1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B6-4837-9212-DED85108C196}"/>
            </c:ext>
          </c:extLst>
        </c:ser>
        <c:ser>
          <c:idx val="2"/>
          <c:order val="2"/>
          <c:tx>
            <c:strRef>
              <c:f>Sheet6!$D$3:$D$5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Sheet6!$D$6:$D$10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16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B6-4837-9212-DED85108C196}"/>
            </c:ext>
          </c:extLst>
        </c:ser>
        <c:ser>
          <c:idx val="3"/>
          <c:order val="3"/>
          <c:tx>
            <c:strRef>
              <c:f>Sheet6!$E$3:$E$5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Sheet6!$A$6:$A$10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Sheet6!$E$6:$E$10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16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B6-4837-9212-DED85108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524224"/>
        <c:axId val="419516544"/>
      </c:barChart>
      <c:catAx>
        <c:axId val="41952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16544"/>
        <c:crosses val="autoZero"/>
        <c:auto val="1"/>
        <c:lblAlgn val="ctr"/>
        <c:lblOffset val="100"/>
        <c:noMultiLvlLbl val="0"/>
      </c:catAx>
      <c:valAx>
        <c:axId val="41951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2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9 Pivot Table chart - Copy.xlsx]% diff!PivotTable23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'% diff'!$B$3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9E-4CB4-927B-DA81B92D2D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9E-4CB4-927B-DA81B92D2D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9E-4CB4-927B-DA81B92D2D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9E-4CB4-927B-DA81B92D2D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'% diff'!$A$4:$A$8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'% diff'!$B$4:$B$8</c:f>
              <c:numCache>
                <c:formatCode>0.00%</c:formatCode>
                <c:ptCount val="4"/>
                <c:pt idx="0">
                  <c:v>0.13549603111641553</c:v>
                </c:pt>
                <c:pt idx="1">
                  <c:v>0.18288766711423446</c:v>
                </c:pt>
                <c:pt idx="2">
                  <c:v>0.51519655233139361</c:v>
                </c:pt>
                <c:pt idx="3">
                  <c:v>0.16641974943795645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B-4DAA-8A28-4E605ECFA1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3</xdr:row>
      <xdr:rowOff>90487</xdr:rowOff>
    </xdr:from>
    <xdr:to>
      <xdr:col>10</xdr:col>
      <xdr:colOff>333375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3DB536-6E15-F5B7-089F-09BF410EC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533399</xdr:colOff>
      <xdr:row>1</xdr:row>
      <xdr:rowOff>157162</xdr:rowOff>
    </xdr:from>
    <xdr:to>
      <xdr:col>13</xdr:col>
      <xdr:colOff>142874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DF3D0D-B716-D978-E7AA-D19E42C07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3</xdr:row>
      <xdr:rowOff>90487</xdr:rowOff>
    </xdr:from>
    <xdr:to>
      <xdr:col>10</xdr:col>
      <xdr:colOff>333375</xdr:colOff>
      <xdr:row>17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C41A10-AE7D-9A03-F13D-9533916D2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138112</xdr:rowOff>
    </xdr:from>
    <xdr:to>
      <xdr:col>10</xdr:col>
      <xdr:colOff>419100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2EF83B-1F62-0A89-C37E-EB1CF7423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3</xdr:row>
      <xdr:rowOff>90487</xdr:rowOff>
    </xdr:from>
    <xdr:to>
      <xdr:col>10</xdr:col>
      <xdr:colOff>333375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965D89-BF54-C028-E675-97537320F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ej Bhogate" refreshedDate="45877.538383101855" createdVersion="8" refreshedVersion="8" minRefreshableVersion="3" recordCount="96" xr:uid="{B2220C1A-378C-4BA1-BE6C-81068EE6F919}">
  <cacheSource type="worksheet">
    <worksheetSource name="Table1"/>
  </cacheSource>
  <cacheFields count="12">
    <cacheField name="TransactionID" numFmtId="14">
      <sharedItems/>
    </cacheField>
    <cacheField name="Order Date" numFmtId="14">
      <sharedItems containsSemiMixedTypes="0" containsNonDate="0" containsDate="1" containsString="0" minDate="2010-01-17T00:00:00" maxDate="2013-12-21T00:00:00" count="91">
        <d v="2013-10-01T00:00:00"/>
        <d v="2010-10-18T00:00:00"/>
        <d v="2010-07-05T00:00:00"/>
        <d v="2012-02-05T00:00:00"/>
        <d v="2013-10-30T00:00:00"/>
        <d v="2010-08-27T00:00:00"/>
        <d v="2012-01-10T00:00:00"/>
        <d v="2013-12-11T00:00:00"/>
        <d v="2011-03-02T00:00:00"/>
        <d v="2010-03-18T00:00:00"/>
        <d v="2013-09-07T00:00:00"/>
        <d v="2011-01-27T00:00:00"/>
        <d v="2012-09-26T00:00:00"/>
        <d v="2010-10-11T00:00:00"/>
        <d v="2013-01-18T00:00:00"/>
        <d v="2011-07-03T00:00:00"/>
        <d v="2010-08-07T00:00:00"/>
        <d v="2013-05-19T00:00:00"/>
        <d v="2011-07-09T00:00:00"/>
        <d v="2010-05-05T00:00:00"/>
        <d v="2011-11-18T00:00:00"/>
        <d v="2013-08-09T00:00:00"/>
        <d v="2013-07-20T00:00:00"/>
        <d v="2011-02-08T00:00:00"/>
        <d v="2011-12-26T00:00:00"/>
        <d v="2011-05-06T00:00:00"/>
        <d v="2012-05-15T00:00:00"/>
        <d v="2012-06-13T00:00:00"/>
        <d v="2012-10-09T00:00:00"/>
        <d v="2010-12-20T00:00:00"/>
        <d v="2013-03-29T00:00:00"/>
        <d v="2010-01-17T00:00:00"/>
        <d v="2012-03-23T00:00:00"/>
        <d v="2011-01-15T00:00:00"/>
        <d v="2012-04-29T00:00:00"/>
        <d v="2013-08-23T00:00:00"/>
        <d v="2013-06-13T00:00:00"/>
        <d v="2011-01-31T00:00:00"/>
        <d v="2013-10-15T00:00:00"/>
        <d v="2011-02-27T00:00:00"/>
        <d v="2012-05-21T00:00:00"/>
        <d v="2010-12-02T00:00:00"/>
        <d v="2013-03-18T00:00:00"/>
        <d v="2011-05-05T00:00:00"/>
        <d v="2010-04-15T00:00:00"/>
        <d v="2011-01-22T00:00:00"/>
        <d v="2012-04-05T00:00:00"/>
        <d v="2010-08-06T00:00:00"/>
        <d v="2013-07-22T00:00:00"/>
        <d v="2010-08-19T00:00:00"/>
        <d v="2013-08-14T00:00:00"/>
        <d v="2013-01-01T00:00:00"/>
        <d v="2012-07-12T00:00:00"/>
        <d v="2013-02-12T00:00:00"/>
        <d v="2010-11-04T00:00:00"/>
        <d v="2012-02-11T00:00:00"/>
        <d v="2011-01-16T00:00:00"/>
        <d v="2013-12-20T00:00:00"/>
        <d v="2010-01-28T00:00:00"/>
        <d v="2013-02-18T00:00:00"/>
        <d v="2013-09-02T00:00:00"/>
        <d v="2013-07-08T00:00:00"/>
        <d v="2011-05-27T00:00:00"/>
        <d v="2012-04-30T00:00:00"/>
        <d v="2012-06-29T00:00:00"/>
        <d v="2012-12-22T00:00:00"/>
        <d v="2011-12-29T00:00:00"/>
        <d v="2010-08-05T00:00:00"/>
        <d v="2011-10-13T00:00:00"/>
        <d v="2013-02-08T00:00:00"/>
        <d v="2012-11-18T00:00:00"/>
        <d v="2012-05-03T00:00:00"/>
        <d v="2013-04-11T00:00:00"/>
        <d v="2013-11-03T00:00:00"/>
        <d v="2010-11-02T00:00:00"/>
        <d v="2010-06-23T00:00:00"/>
        <d v="2012-07-25T00:00:00"/>
        <d v="2013-02-05T00:00:00"/>
        <d v="2013-02-13T00:00:00"/>
        <d v="2012-06-06T00:00:00"/>
        <d v="2010-06-20T00:00:00"/>
        <d v="2013-11-20T00:00:00"/>
        <d v="2010-10-29T00:00:00"/>
        <d v="2012-08-14T00:00:00"/>
        <d v="2012-01-24T00:00:00"/>
        <d v="2012-07-18T00:00:00"/>
        <d v="2010-10-09T00:00:00"/>
        <d v="2013-11-13T00:00:00"/>
        <d v="2012-02-06T00:00:00"/>
        <d v="2011-10-15T00:00:00"/>
        <d v="2013-09-09T00:00:00"/>
      </sharedItems>
      <fieldGroup par="11"/>
    </cacheField>
    <cacheField name="Product" numFmtId="0">
      <sharedItems count="4">
        <s v="Sauvignon Blanc"/>
        <s v="Chardonnay"/>
        <s v="Reisling"/>
        <s v="Pinot Gris"/>
      </sharedItems>
    </cacheField>
    <cacheField name="Region" numFmtId="0">
      <sharedItems count="4">
        <s v="East"/>
        <s v="North"/>
        <s v="West"/>
        <s v="South"/>
      </sharedItems>
    </cacheField>
    <cacheField name="SalesRep" numFmtId="0">
      <sharedItems count="6">
        <s v="Sean"/>
        <s v="Gerald"/>
        <s v="Pam"/>
        <s v="Kayen"/>
        <s v="Franks"/>
        <s v="Wilbur"/>
      </sharedItems>
    </cacheField>
    <cacheField name="Customer" numFmtId="0">
      <sharedItems/>
    </cacheField>
    <cacheField name="Order Quantity" numFmtId="1">
      <sharedItems containsSemiMixedTypes="0" containsString="0" containsNumber="1" containsInteger="1" minValue="6" maxValue="65"/>
    </cacheField>
    <cacheField name="Sales" numFmtId="164">
      <sharedItems containsSemiMixedTypes="0" containsString="0" containsNumber="1" minValue="114.53" maxValue="5000.6000000000004"/>
    </cacheField>
    <cacheField name="COGS" numFmtId="164">
      <sharedItems containsSemiMixedTypes="0" containsString="0" containsNumber="1" minValue="48.26" maxValue="942.93"/>
    </cacheField>
    <cacheField name="Months (Order Date)" numFmtId="0" databaseField="0">
      <fieldGroup base="1">
        <rangePr groupBy="months" startDate="2010-01-17T00:00:00" endDate="2013-12-21T00:00:00"/>
        <groupItems count="14">
          <s v="&lt;1/17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1/2013"/>
        </groupItems>
      </fieldGroup>
    </cacheField>
    <cacheField name="Quarters (Order Date)" numFmtId="0" databaseField="0">
      <fieldGroup base="1">
        <rangePr groupBy="quarters" startDate="2010-01-17T00:00:00" endDate="2013-12-21T00:00:00"/>
        <groupItems count="6">
          <s v="&lt;1/17/2010"/>
          <s v="Qtr1"/>
          <s v="Qtr2"/>
          <s v="Qtr3"/>
          <s v="Qtr4"/>
          <s v="&gt;12/21/2013"/>
        </groupItems>
      </fieldGroup>
    </cacheField>
    <cacheField name="Years (Order Date)" numFmtId="0" databaseField="0">
      <fieldGroup base="1">
        <rangePr groupBy="years" startDate="2010-01-17T00:00:00" endDate="2013-12-21T00:00:00"/>
        <groupItems count="6">
          <s v="&lt;1/17/2010"/>
          <s v="2010"/>
          <s v="2011"/>
          <s v="2012"/>
          <s v="2013"/>
          <s v="&gt;12/21/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ej Bhogate" refreshedDate="45877.641182523148" createdVersion="8" refreshedVersion="8" minRefreshableVersion="3" recordCount="50" xr:uid="{D6D3E40C-7844-473B-B925-5AF9C4AB9D47}">
  <cacheSource type="worksheet">
    <worksheetSource ref="A1:O51" sheet="Claculated Fields-Items"/>
  </cacheSource>
  <cacheFields count="18">
    <cacheField name="Order ID" numFmtId="0">
      <sharedItems/>
    </cacheField>
    <cacheField name="Order Date" numFmtId="14">
      <sharedItems containsSemiMixedTypes="0" containsNonDate="0" containsDate="1" containsString="0" minDate="2011-01-10T00:00:00" maxDate="2014-12-19T00:00:00" count="47">
        <d v="2012-07-31T00:00:00"/>
        <d v="2013-02-05T00:00:00"/>
        <d v="2013-10-17T00:00:00"/>
        <d v="2013-01-28T00:00:00"/>
        <d v="2013-11-05T00:00:00"/>
        <d v="2013-06-28T00:00:00"/>
        <d v="2011-11-07T00:00:00"/>
        <d v="2012-04-14T00:00:00"/>
        <d v="2014-10-14T00:00:00"/>
        <d v="2012-01-28T00:00:00"/>
        <d v="2011-04-05T00:00:00"/>
        <d v="2012-04-19T00:00:00"/>
        <d v="2011-12-27T00:00:00"/>
        <d v="2012-11-13T00:00:00"/>
        <d v="2013-06-06T00:00:00"/>
        <d v="2014-07-31T00:00:00"/>
        <d v="2014-11-03T00:00:00"/>
        <d v="2014-09-08T00:00:00"/>
        <d v="2014-01-31T00:00:00"/>
        <d v="2014-12-05T00:00:00"/>
        <d v="2012-08-08T00:00:00"/>
        <d v="2011-10-29T00:00:00"/>
        <d v="2011-05-02T00:00:00"/>
        <d v="2013-02-27T00:00:00"/>
        <d v="2014-09-05T00:00:00"/>
        <d v="2011-12-17T00:00:00"/>
        <d v="2011-03-14T00:00:00"/>
        <d v="2013-03-11T00:00:00"/>
        <d v="2012-02-25T00:00:00"/>
        <d v="2011-12-28T00:00:00"/>
        <d v="2012-07-17T00:00:00"/>
        <d v="2012-10-15T00:00:00"/>
        <d v="2011-11-03T00:00:00"/>
        <d v="2011-12-12T00:00:00"/>
        <d v="2011-09-14T00:00:00"/>
        <d v="2014-11-05T00:00:00"/>
        <d v="2014-01-14T00:00:00"/>
        <d v="2011-01-10T00:00:00"/>
        <d v="2013-08-22T00:00:00"/>
        <d v="2014-11-11T00:00:00"/>
        <d v="2014-09-26T00:00:00"/>
        <d v="2012-12-13T00:00:00"/>
        <d v="2011-09-23T00:00:00"/>
        <d v="2013-03-08T00:00:00"/>
        <d v="2014-08-28T00:00:00"/>
        <d v="2014-05-01T00:00:00"/>
        <d v="2014-12-18T00:00:00"/>
      </sharedItems>
      <fieldGroup par="17"/>
    </cacheField>
    <cacheField name="Ship Date" numFmtId="14">
      <sharedItems containsSemiMixedTypes="0" containsNonDate="0" containsDate="1" containsString="0" minDate="2011-01-11T00:00:00" maxDate="2014-12-21T00:00:00"/>
    </cacheField>
    <cacheField name="Ship Mode" numFmtId="0">
      <sharedItems/>
    </cacheField>
    <cacheField name="Status" numFmtId="0">
      <sharedItems count="3">
        <s v="Shipped"/>
        <s v="Cancelled"/>
        <s v="Pending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ategory" numFmtId="0">
      <sharedItems/>
    </cacheField>
    <cacheField name="Sub-Category" numFmtId="0">
      <sharedItems/>
    </cacheField>
    <cacheField name="Sales" numFmtId="0">
      <sharedItems containsSemiMixedTypes="0" containsString="0" containsNumber="1" minValue="1696.64" maxValue="9449.9500000000007"/>
    </cacheField>
    <cacheField name="Quantity" numFmtId="0">
      <sharedItems containsSemiMixedTypes="0" containsString="0" containsNumber="1" containsInteger="1" minValue="2" maxValue="14"/>
    </cacheField>
    <cacheField name="Profit" numFmtId="0">
      <sharedItems containsSemiMixedTypes="0" containsString="0" containsNumber="1" minValue="-3839.9903999999988" maxValue="4630.4755000000005"/>
    </cacheField>
    <cacheField name="Shipping Cost" numFmtId="0">
      <sharedItems containsSemiMixedTypes="0" containsString="0" containsNumber="1" minValue="634.529" maxValue="933.57"/>
    </cacheField>
    <cacheField name="Months (Order Date)" numFmtId="0" databaseField="0">
      <fieldGroup base="1">
        <rangePr groupBy="months" startDate="2011-01-10T00:00:00" endDate="2014-12-19T00:00:00"/>
        <groupItems count="14">
          <s v="&lt;1/10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9/2014"/>
        </groupItems>
      </fieldGroup>
    </cacheField>
    <cacheField name="Quarters (Order Date)" numFmtId="0" databaseField="0">
      <fieldGroup base="1">
        <rangePr groupBy="quarters" startDate="2011-01-10T00:00:00" endDate="2014-12-19T00:00:00"/>
        <groupItems count="6">
          <s v="&lt;1/10/2011"/>
          <s v="Qtr1"/>
          <s v="Qtr2"/>
          <s v="Qtr3"/>
          <s v="Qtr4"/>
          <s v="&gt;12/19/2014"/>
        </groupItems>
      </fieldGroup>
    </cacheField>
    <cacheField name="Years (Order Date)" numFmtId="0" databaseField="0">
      <fieldGroup base="1">
        <rangePr groupBy="years" startDate="2011-01-10T00:00:00" endDate="2014-12-19T00:00:00"/>
        <groupItems count="6">
          <s v="&lt;1/10/2011"/>
          <s v="2011"/>
          <s v="2012"/>
          <s v="2013"/>
          <s v="2014"/>
          <s v="&gt;12/19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SEAA2013"/>
    <x v="0"/>
    <x v="0"/>
    <x v="0"/>
    <x v="0"/>
    <s v="AA"/>
    <n v="16"/>
    <n v="2500"/>
    <n v="232.99"/>
  </r>
  <r>
    <s v="GEKB2010"/>
    <x v="1"/>
    <x v="1"/>
    <x v="0"/>
    <x v="1"/>
    <s v="KBTB"/>
    <n v="24"/>
    <n v="528.5"/>
    <n v="240.35"/>
  </r>
  <r>
    <s v="PAAS2010"/>
    <x v="2"/>
    <x v="2"/>
    <x v="0"/>
    <x v="2"/>
    <s v="AST"/>
    <n v="30"/>
    <n v="810.71"/>
    <n v="435.64"/>
  </r>
  <r>
    <s v="PASF2012"/>
    <x v="3"/>
    <x v="2"/>
    <x v="0"/>
    <x v="2"/>
    <s v="SFWK"/>
    <n v="19"/>
    <n v="418.54"/>
    <n v="190.05"/>
  </r>
  <r>
    <s v="PAFM2013"/>
    <x v="4"/>
    <x v="2"/>
    <x v="0"/>
    <x v="2"/>
    <s v="FM"/>
    <n v="38"/>
    <n v="722.22"/>
    <n v="304.06"/>
  </r>
  <r>
    <s v="KAFM2010"/>
    <x v="5"/>
    <x v="1"/>
    <x v="0"/>
    <x v="3"/>
    <s v="FM"/>
    <n v="20"/>
    <n v="5000"/>
    <n v="220.63"/>
  </r>
  <r>
    <s v="PAWS2012"/>
    <x v="6"/>
    <x v="1"/>
    <x v="0"/>
    <x v="2"/>
    <s v="WSD"/>
    <n v="23"/>
    <n v="483.58"/>
    <n v="213.57"/>
  </r>
  <r>
    <s v="SEPC2013"/>
    <x v="7"/>
    <x v="1"/>
    <x v="0"/>
    <x v="0"/>
    <s v="PCC"/>
    <n v="6"/>
    <n v="114.53"/>
    <n v="48.26"/>
  </r>
  <r>
    <s v="SEBB2011"/>
    <x v="8"/>
    <x v="1"/>
    <x v="0"/>
    <x v="0"/>
    <s v="BBT"/>
    <n v="29"/>
    <n v="609.12"/>
    <n v="269.16000000000003"/>
  </r>
  <r>
    <s v="PATT2010"/>
    <x v="9"/>
    <x v="0"/>
    <x v="1"/>
    <x v="2"/>
    <s v="TTT"/>
    <n v="57"/>
    <n v="1197.9000000000001"/>
    <n v="527.98"/>
  </r>
  <r>
    <s v="FRET2013"/>
    <x v="10"/>
    <x v="2"/>
    <x v="1"/>
    <x v="4"/>
    <s v="ET"/>
    <n v="12"/>
    <n v="228.89"/>
    <n v="96.02"/>
  </r>
  <r>
    <s v="FRIT2011"/>
    <x v="11"/>
    <x v="3"/>
    <x v="1"/>
    <x v="4"/>
    <s v="ITTW"/>
    <n v="60"/>
    <n v="1380.07"/>
    <n v="660.4"/>
  </r>
  <r>
    <s v="FRPS2012"/>
    <x v="12"/>
    <x v="3"/>
    <x v="1"/>
    <x v="4"/>
    <s v="PSA"/>
    <n v="54"/>
    <n v="1026.96"/>
    <n v="432.75"/>
  </r>
  <r>
    <s v="WIQT2010"/>
    <x v="13"/>
    <x v="3"/>
    <x v="1"/>
    <x v="5"/>
    <s v="QT"/>
    <n v="40"/>
    <n v="760.24"/>
    <n v="320.2"/>
  </r>
  <r>
    <s v="SEKP2013"/>
    <x v="14"/>
    <x v="1"/>
    <x v="1"/>
    <x v="0"/>
    <s v="KPSA"/>
    <n v="18"/>
    <n v="414.11"/>
    <n v="198.71"/>
  </r>
  <r>
    <s v="FRHH2011"/>
    <x v="15"/>
    <x v="2"/>
    <x v="1"/>
    <x v="4"/>
    <s v="HHH"/>
    <n v="12"/>
    <n v="276.06"/>
    <n v="132.56"/>
  </r>
  <r>
    <s v="SEPC2010"/>
    <x v="16"/>
    <x v="1"/>
    <x v="1"/>
    <x v="0"/>
    <s v="PCC"/>
    <n v="22"/>
    <n v="462.22"/>
    <n v="203.57"/>
  </r>
  <r>
    <s v="PAT2013"/>
    <x v="17"/>
    <x v="2"/>
    <x v="1"/>
    <x v="2"/>
    <s v="T"/>
    <n v="61"/>
    <n v="1281.0999999999999"/>
    <n v="565.15"/>
  </r>
  <r>
    <s v="PAWT2011"/>
    <x v="18"/>
    <x v="1"/>
    <x v="1"/>
    <x v="2"/>
    <s v="WT"/>
    <n v="53"/>
    <n v="1113.7"/>
    <n v="490.31"/>
  </r>
  <r>
    <s v="WIT2010"/>
    <x v="19"/>
    <x v="1"/>
    <x v="1"/>
    <x v="5"/>
    <s v="T"/>
    <n v="27"/>
    <n v="594.09"/>
    <n v="270.42"/>
  </r>
  <r>
    <s v="KAHI2011"/>
    <x v="20"/>
    <x v="2"/>
    <x v="1"/>
    <x v="3"/>
    <s v="HII"/>
    <n v="16"/>
    <n v="432.67"/>
    <n v="232.2"/>
  </r>
  <r>
    <s v="FRWS2013"/>
    <x v="21"/>
    <x v="3"/>
    <x v="1"/>
    <x v="4"/>
    <s v="WSD"/>
    <n v="38"/>
    <n v="874.45"/>
    <n v="418.69"/>
  </r>
  <r>
    <s v="PAEP2013"/>
    <x v="22"/>
    <x v="0"/>
    <x v="1"/>
    <x v="2"/>
    <s v="EPP"/>
    <n v="40"/>
    <n v="880.38"/>
    <n v="400.89"/>
  </r>
  <r>
    <s v="WIPC2011"/>
    <x v="23"/>
    <x v="2"/>
    <x v="1"/>
    <x v="5"/>
    <s v="PCC"/>
    <n v="42"/>
    <n v="798.53"/>
    <n v="336.16"/>
  </r>
  <r>
    <s v="KAWS2011"/>
    <x v="24"/>
    <x v="1"/>
    <x v="1"/>
    <x v="3"/>
    <s v="WSD"/>
    <n v="26"/>
    <n v="572.41999999999996"/>
    <n v="260.27"/>
  </r>
  <r>
    <s v="SEQT2011"/>
    <x v="25"/>
    <x v="1"/>
    <x v="1"/>
    <x v="0"/>
    <s v="QT"/>
    <n v="15"/>
    <n v="330.61"/>
    <n v="150.43"/>
  </r>
  <r>
    <s v="GETR2012"/>
    <x v="26"/>
    <x v="1"/>
    <x v="1"/>
    <x v="1"/>
    <s v="TRU"/>
    <n v="27"/>
    <n v="567.17999999999995"/>
    <n v="250.66"/>
  </r>
  <r>
    <s v="PAAA2012"/>
    <x v="27"/>
    <x v="0"/>
    <x v="1"/>
    <x v="2"/>
    <s v="AA"/>
    <n v="63"/>
    <n v="1449.21"/>
    <n v="693.64"/>
  </r>
  <r>
    <s v="WIDF2012"/>
    <x v="28"/>
    <x v="2"/>
    <x v="1"/>
    <x v="5"/>
    <s v="DFR"/>
    <n v="17"/>
    <n v="459.29"/>
    <n v="246.75"/>
  </r>
  <r>
    <s v="WIMB2010"/>
    <x v="29"/>
    <x v="0"/>
    <x v="2"/>
    <x v="5"/>
    <s v="MBG"/>
    <n v="17"/>
    <n v="357.55"/>
    <n v="157.94999999999999"/>
  </r>
  <r>
    <s v="GEFM2013"/>
    <x v="30"/>
    <x v="0"/>
    <x v="2"/>
    <x v="1"/>
    <s v="FM"/>
    <n v="7"/>
    <n v="154.34"/>
    <n v="70"/>
  </r>
  <r>
    <s v="WITT2010"/>
    <x v="31"/>
    <x v="3"/>
    <x v="2"/>
    <x v="5"/>
    <s v="TTT"/>
    <n v="8"/>
    <n v="152.76"/>
    <n v="64.12"/>
  </r>
  <r>
    <s v="KATR2012"/>
    <x v="32"/>
    <x v="1"/>
    <x v="2"/>
    <x v="3"/>
    <s v="TRU"/>
    <n v="30"/>
    <n v="570.22"/>
    <n v="240.67"/>
  </r>
  <r>
    <s v="SEMB2011"/>
    <x v="33"/>
    <x v="1"/>
    <x v="2"/>
    <x v="0"/>
    <s v="MBG"/>
    <n v="47"/>
    <n v="987.62"/>
    <n v="435.15"/>
  </r>
  <r>
    <s v="WIKB2012"/>
    <x v="34"/>
    <x v="2"/>
    <x v="2"/>
    <x v="5"/>
    <s v="KBTB"/>
    <n v="65"/>
    <n v="1755.71"/>
    <n v="942.93"/>
  </r>
  <r>
    <s v="FRIT2013"/>
    <x v="35"/>
    <x v="3"/>
    <x v="2"/>
    <x v="4"/>
    <s v="ITW"/>
    <n v="14"/>
    <n v="378.27"/>
    <n v="203.62"/>
  </r>
  <r>
    <s v="WIBB2013"/>
    <x v="36"/>
    <x v="3"/>
    <x v="2"/>
    <x v="5"/>
    <s v="BBT"/>
    <n v="49"/>
    <n v="1323.81"/>
    <n v="711.49"/>
  </r>
  <r>
    <s v="GEIT2011"/>
    <x v="37"/>
    <x v="1"/>
    <x v="2"/>
    <x v="1"/>
    <s v="ITW"/>
    <n v="19"/>
    <n v="399.02"/>
    <n v="176.55"/>
  </r>
  <r>
    <s v="KAWT2013"/>
    <x v="38"/>
    <x v="3"/>
    <x v="2"/>
    <x v="3"/>
    <s v="WT"/>
    <n v="7"/>
    <n v="154.94999999999999"/>
    <n v="70.62"/>
  </r>
  <r>
    <s v="PAPL2011"/>
    <x v="39"/>
    <x v="0"/>
    <x v="2"/>
    <x v="2"/>
    <s v="PLOT"/>
    <n v="57"/>
    <n v="1254.57"/>
    <n v="570.77"/>
  </r>
  <r>
    <s v="PAPS2012"/>
    <x v="40"/>
    <x v="2"/>
    <x v="2"/>
    <x v="2"/>
    <s v="PSA"/>
    <n v="33"/>
    <n v="627.32000000000005"/>
    <n v="264.54000000000002"/>
  </r>
  <r>
    <s v="PAPS2010"/>
    <x v="41"/>
    <x v="0"/>
    <x v="2"/>
    <x v="2"/>
    <s v="PSA"/>
    <n v="40"/>
    <n v="880.6"/>
    <n v="400.47"/>
  </r>
  <r>
    <s v="WIFM2013"/>
    <x v="42"/>
    <x v="0"/>
    <x v="2"/>
    <x v="5"/>
    <s v="FM"/>
    <n v="52"/>
    <n v="1196.03"/>
    <n v="572.80999999999995"/>
  </r>
  <r>
    <s v="FRJA2011"/>
    <x v="43"/>
    <x v="0"/>
    <x v="2"/>
    <x v="4"/>
    <s v="JAQ"/>
    <n v="34"/>
    <n v="782.32"/>
    <n v="374.76"/>
  </r>
  <r>
    <s v="GEAS2010"/>
    <x v="44"/>
    <x v="1"/>
    <x v="2"/>
    <x v="1"/>
    <s v="AST"/>
    <n v="63"/>
    <n v="1323.35"/>
    <n v="583.36"/>
  </r>
  <r>
    <s v="KAYT2011"/>
    <x v="45"/>
    <x v="2"/>
    <x v="2"/>
    <x v="3"/>
    <s v="YTR"/>
    <n v="11"/>
    <n v="209.92"/>
    <n v="88.73"/>
  </r>
  <r>
    <s v="SEYT2010"/>
    <x v="41"/>
    <x v="2"/>
    <x v="2"/>
    <x v="0"/>
    <s v="YTR"/>
    <n v="56"/>
    <n v="1232.05"/>
    <n v="560.29"/>
  </r>
  <r>
    <s v="FRHI2012"/>
    <x v="46"/>
    <x v="0"/>
    <x v="3"/>
    <x v="4"/>
    <s v="HII"/>
    <n v="62"/>
    <n v="1674.82"/>
    <n v="899.56"/>
  </r>
  <r>
    <s v="GESF2010"/>
    <x v="47"/>
    <x v="0"/>
    <x v="3"/>
    <x v="1"/>
    <s v="SFWK"/>
    <n v="43"/>
    <n v="1161.25"/>
    <n v="623.75"/>
  </r>
  <r>
    <s v="KAEP2013"/>
    <x v="48"/>
    <x v="1"/>
    <x v="3"/>
    <x v="3"/>
    <s v="EPP"/>
    <n v="61"/>
    <n v="1647.26"/>
    <n v="885.17"/>
  </r>
  <r>
    <s v="FRHH2010"/>
    <x v="49"/>
    <x v="0"/>
    <x v="3"/>
    <x v="4"/>
    <s v="HHH"/>
    <n v="59"/>
    <n v="1121.96"/>
    <n v="472.38"/>
  </r>
  <r>
    <s v="KAPC2013"/>
    <x v="50"/>
    <x v="2"/>
    <x v="3"/>
    <x v="3"/>
    <s v="PCC"/>
    <n v="10"/>
    <n v="270.77999999999997"/>
    <n v="145.72999999999999"/>
  </r>
  <r>
    <s v="FRAA2013"/>
    <x v="51"/>
    <x v="1"/>
    <x v="3"/>
    <x v="4"/>
    <s v="AA"/>
    <n v="24"/>
    <n v="456.41"/>
    <n v="192.14"/>
  </r>
  <r>
    <s v="FRDF2012"/>
    <x v="52"/>
    <x v="1"/>
    <x v="3"/>
    <x v="4"/>
    <s v="DFGH"/>
    <n v="20"/>
    <n v="441"/>
    <n v="200.54"/>
  </r>
  <r>
    <s v="GEMN2013"/>
    <x v="53"/>
    <x v="1"/>
    <x v="3"/>
    <x v="1"/>
    <s v="MNGD"/>
    <n v="12"/>
    <n v="252.44"/>
    <n v="111.66"/>
  </r>
  <r>
    <s v="PADF2010"/>
    <x v="54"/>
    <x v="3"/>
    <x v="3"/>
    <x v="2"/>
    <s v="DFR"/>
    <n v="59"/>
    <n v="1298.92"/>
    <n v="590.75"/>
  </r>
  <r>
    <s v="KAPC2012"/>
    <x v="55"/>
    <x v="3"/>
    <x v="3"/>
    <x v="3"/>
    <s v="PCC"/>
    <n v="62"/>
    <n v="1178.07"/>
    <n v="496.92"/>
  </r>
  <r>
    <s v="WIPL2011"/>
    <x v="56"/>
    <x v="1"/>
    <x v="3"/>
    <x v="5"/>
    <s v="PLOT"/>
    <n v="17"/>
    <n v="459.95"/>
    <n v="247.23"/>
  </r>
  <r>
    <s v="WIYT2013"/>
    <x v="57"/>
    <x v="2"/>
    <x v="3"/>
    <x v="5"/>
    <s v="YTR"/>
    <n v="53"/>
    <n v="1219.7"/>
    <n v="583.67999999999995"/>
  </r>
  <r>
    <s v="SEAS2010"/>
    <x v="58"/>
    <x v="2"/>
    <x v="3"/>
    <x v="0"/>
    <s v="AST"/>
    <n v="8"/>
    <n v="152.24"/>
    <n v="64.989999999999995"/>
  </r>
  <r>
    <s v="SET2010"/>
    <x v="58"/>
    <x v="1"/>
    <x v="3"/>
    <x v="0"/>
    <s v="T"/>
    <n v="35"/>
    <n v="770.8"/>
    <n v="350.53"/>
  </r>
  <r>
    <s v="KAET2013"/>
    <x v="59"/>
    <x v="0"/>
    <x v="3"/>
    <x v="3"/>
    <s v="ET"/>
    <n v="59"/>
    <n v="1357.25"/>
    <n v="649.15"/>
  </r>
  <r>
    <s v="GEPS2013"/>
    <x v="60"/>
    <x v="3"/>
    <x v="3"/>
    <x v="1"/>
    <s v="PSA"/>
    <n v="10"/>
    <n v="220.18"/>
    <n v="100.84"/>
  </r>
  <r>
    <s v="SEYT2013"/>
    <x v="61"/>
    <x v="3"/>
    <x v="3"/>
    <x v="0"/>
    <s v="YTR"/>
    <n v="58"/>
    <n v="1102.81"/>
    <n v="464.06"/>
  </r>
  <r>
    <s v="KAFM2011"/>
    <x v="62"/>
    <x v="3"/>
    <x v="3"/>
    <x v="3"/>
    <s v="FM"/>
    <n v="58"/>
    <n v="1566.83"/>
    <n v="841.43"/>
  </r>
  <r>
    <s v="PADF2012"/>
    <x v="63"/>
    <x v="2"/>
    <x v="3"/>
    <x v="2"/>
    <s v="DFR"/>
    <n v="23"/>
    <n v="437.92"/>
    <n v="184.33"/>
  </r>
  <r>
    <s v="WIQT2012"/>
    <x v="64"/>
    <x v="1"/>
    <x v="3"/>
    <x v="5"/>
    <s v="QT"/>
    <n v="64"/>
    <n v="1216.1199999999999"/>
    <n v="512.86"/>
  </r>
  <r>
    <s v="PAHH2012"/>
    <x v="65"/>
    <x v="2"/>
    <x v="3"/>
    <x v="2"/>
    <s v="HHH"/>
    <n v="13"/>
    <n v="273.10000000000002"/>
    <n v="120.64"/>
  </r>
  <r>
    <s v="WITR2011"/>
    <x v="66"/>
    <x v="0"/>
    <x v="3"/>
    <x v="5"/>
    <s v="TRU"/>
    <n v="11"/>
    <n v="242.26"/>
    <n v="110.91"/>
  </r>
  <r>
    <s v="GEIT2010"/>
    <x v="67"/>
    <x v="0"/>
    <x v="3"/>
    <x v="1"/>
    <s v="ITW"/>
    <n v="56"/>
    <n v="1512.6"/>
    <n v="812.83"/>
  </r>
  <r>
    <s v="FRFM2011"/>
    <x v="68"/>
    <x v="1"/>
    <x v="3"/>
    <x v="4"/>
    <s v="FM"/>
    <n v="29"/>
    <n v="783.75"/>
    <n v="421.2"/>
  </r>
  <r>
    <s v="WIKB2013"/>
    <x v="69"/>
    <x v="2"/>
    <x v="3"/>
    <x v="5"/>
    <s v="KBTB"/>
    <n v="29"/>
    <n v="667.99"/>
    <n v="319.45"/>
  </r>
  <r>
    <s v="PAAS2012"/>
    <x v="70"/>
    <x v="0"/>
    <x v="3"/>
    <x v="2"/>
    <s v="AST"/>
    <n v="53"/>
    <n v="1166.31"/>
    <n v="530.24"/>
  </r>
  <r>
    <s v="SEYT2011"/>
    <x v="25"/>
    <x v="2"/>
    <x v="3"/>
    <x v="0"/>
    <s v="YTR"/>
    <n v="35"/>
    <n v="770.18"/>
    <n v="350.66"/>
  </r>
  <r>
    <s v="WIWT2012"/>
    <x v="71"/>
    <x v="1"/>
    <x v="3"/>
    <x v="5"/>
    <s v="WT"/>
    <n v="6"/>
    <n v="132.34"/>
    <n v="60.58"/>
  </r>
  <r>
    <s v="FRPC2013"/>
    <x v="72"/>
    <x v="0"/>
    <x v="3"/>
    <x v="4"/>
    <s v="PCC"/>
    <n v="44"/>
    <n v="1188.81"/>
    <n v="638.04"/>
  </r>
  <r>
    <s v="GEDF2013"/>
    <x v="73"/>
    <x v="3"/>
    <x v="3"/>
    <x v="1"/>
    <s v="DFGH"/>
    <n v="9"/>
    <n v="198.06"/>
    <n v="90.45"/>
  </r>
  <r>
    <s v="PAWT2010"/>
    <x v="74"/>
    <x v="0"/>
    <x v="3"/>
    <x v="2"/>
    <s v="WT"/>
    <n v="22"/>
    <n v="594.16999999999996"/>
    <n v="319.41000000000003"/>
  </r>
  <r>
    <s v="KAT2010"/>
    <x v="75"/>
    <x v="1"/>
    <x v="3"/>
    <x v="3"/>
    <s v="T"/>
    <n v="49"/>
    <n v="931.09"/>
    <n v="392.91"/>
  </r>
  <r>
    <s v="FRBB2012"/>
    <x v="76"/>
    <x v="2"/>
    <x v="3"/>
    <x v="4"/>
    <s v="BBT"/>
    <n v="13"/>
    <n v="299.64"/>
    <n v="143.78"/>
  </r>
  <r>
    <s v="GEHI2013"/>
    <x v="77"/>
    <x v="0"/>
    <x v="3"/>
    <x v="1"/>
    <s v="HII"/>
    <n v="63"/>
    <n v="1701.68"/>
    <n v="913.74"/>
  </r>
  <r>
    <s v="FRJA2013"/>
    <x v="78"/>
    <x v="0"/>
    <x v="3"/>
    <x v="4"/>
    <s v="JAQ"/>
    <n v="21"/>
    <n v="399.15"/>
    <n v="168.95"/>
  </r>
  <r>
    <s v="KAKP2012"/>
    <x v="79"/>
    <x v="2"/>
    <x v="3"/>
    <x v="3"/>
    <s v="KPSA"/>
    <n v="17"/>
    <n v="374.81"/>
    <n v="170.37"/>
  </r>
  <r>
    <s v="GEPS2010"/>
    <x v="80"/>
    <x v="0"/>
    <x v="3"/>
    <x v="1"/>
    <s v="PSA"/>
    <n v="21"/>
    <n v="462.17"/>
    <n v="210.81"/>
  </r>
  <r>
    <s v="SEDF2012"/>
    <x v="76"/>
    <x v="3"/>
    <x v="3"/>
    <x v="0"/>
    <s v="DFGH"/>
    <n v="44"/>
    <n v="924.29"/>
    <n v="407.31"/>
  </r>
  <r>
    <s v="PAFR2013"/>
    <x v="81"/>
    <x v="1"/>
    <x v="3"/>
    <x v="2"/>
    <s v="FRED"/>
    <n v="61"/>
    <n v="5000.6000000000004"/>
    <n v="610.16"/>
  </r>
  <r>
    <s v="GEQT2010"/>
    <x v="82"/>
    <x v="2"/>
    <x v="3"/>
    <x v="1"/>
    <s v="QT"/>
    <n v="10"/>
    <n v="230.25"/>
    <n v="110.43"/>
  </r>
  <r>
    <s v="WIZA2012"/>
    <x v="83"/>
    <x v="0"/>
    <x v="3"/>
    <x v="5"/>
    <s v="ZAT"/>
    <n v="36"/>
    <n v="756.46"/>
    <n v="333.2"/>
  </r>
  <r>
    <s v="FRMN2012"/>
    <x v="70"/>
    <x v="0"/>
    <x v="3"/>
    <x v="4"/>
    <s v="MNGD"/>
    <n v="46"/>
    <n v="1058.01"/>
    <n v="506.64"/>
  </r>
  <r>
    <s v="FRYT2012"/>
    <x v="84"/>
    <x v="2"/>
    <x v="3"/>
    <x v="4"/>
    <s v="YTR"/>
    <n v="44"/>
    <n v="1188.22"/>
    <n v="638.79"/>
  </r>
  <r>
    <s v="SEQT2012"/>
    <x v="85"/>
    <x v="3"/>
    <x v="3"/>
    <x v="0"/>
    <s v="QT"/>
    <n v="25"/>
    <n v="550.39"/>
    <n v="250.46"/>
  </r>
  <r>
    <s v="WIFR2010"/>
    <x v="86"/>
    <x v="2"/>
    <x v="3"/>
    <x v="5"/>
    <s v="FRED"/>
    <n v="51"/>
    <n v="969.72"/>
    <n v="408.08"/>
  </r>
  <r>
    <s v="WILO2013"/>
    <x v="87"/>
    <x v="2"/>
    <x v="3"/>
    <x v="5"/>
    <s v="LOP"/>
    <n v="15"/>
    <n v="345.88"/>
    <n v="165.74"/>
  </r>
  <r>
    <s v="KAAS2012"/>
    <x v="88"/>
    <x v="0"/>
    <x v="3"/>
    <x v="3"/>
    <s v="AST"/>
    <n v="50"/>
    <n v="1100.1400000000001"/>
    <n v="500.16"/>
  </r>
  <r>
    <s v="GEPL2011"/>
    <x v="89"/>
    <x v="1"/>
    <x v="3"/>
    <x v="1"/>
    <s v="PLOT"/>
    <n v="10"/>
    <n v="270.5"/>
    <n v="145.57"/>
  </r>
  <r>
    <s v="SETT2013"/>
    <x v="90"/>
    <x v="1"/>
    <x v="3"/>
    <x v="0"/>
    <s v="TTT"/>
    <n v="23"/>
    <n v="437.81"/>
    <n v="184.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CA-2012-124891"/>
    <x v="0"/>
    <d v="2012-07-31T00:00:00"/>
    <s v="Same Day"/>
    <x v="0"/>
    <s v="RH-19495"/>
    <s v="Rick Hansen"/>
    <s v="Consumer"/>
    <s v="United States"/>
    <s v="Technology"/>
    <s v="Accessories"/>
    <n v="2309.65"/>
    <n v="7"/>
    <n v="762.18449999999984"/>
    <n v="933.57"/>
  </r>
  <r>
    <s v="IN-2013-77878"/>
    <x v="1"/>
    <d v="2013-02-07T00:00:00"/>
    <s v="Second Class"/>
    <x v="1"/>
    <s v="JR-16210"/>
    <s v="Justin Ritter"/>
    <s v="Corporate"/>
    <s v="Australia"/>
    <s v="Furniture"/>
    <s v="Chairs"/>
    <n v="3709.3949999999995"/>
    <n v="9"/>
    <n v="-288.76499999999999"/>
    <n v="923.63"/>
  </r>
  <r>
    <s v="IN-2013-71249"/>
    <x v="2"/>
    <d v="2013-10-18T00:00:00"/>
    <s v="First Class"/>
    <x v="2"/>
    <s v="CR-12730"/>
    <s v="Craig Reiter"/>
    <s v="Consumer"/>
    <s v="Australia"/>
    <s v="Technology"/>
    <s v="Phones"/>
    <n v="5175.1710000000012"/>
    <n v="9"/>
    <n v="919.97099999999966"/>
    <n v="915.49"/>
  </r>
  <r>
    <s v="ES-2013-1579342"/>
    <x v="3"/>
    <d v="2013-01-30T00:00:00"/>
    <s v="First Class"/>
    <x v="0"/>
    <s v="KM-16375"/>
    <s v="Katherine Murray"/>
    <s v="Home Office"/>
    <s v="Germany"/>
    <s v="Technology"/>
    <s v="Phones"/>
    <n v="2892.5099999999998"/>
    <n v="5"/>
    <n v="-96.540000000000049"/>
    <n v="910.16"/>
  </r>
  <r>
    <s v="SG-2013-4320"/>
    <x v="4"/>
    <d v="2013-11-06T00:00:00"/>
    <s v="Same Day"/>
    <x v="0"/>
    <s v="RH-9495"/>
    <s v="Rick Hansen"/>
    <s v="Consumer"/>
    <s v="Senegal"/>
    <s v="Technology"/>
    <s v="Copiers"/>
    <n v="2832.96"/>
    <n v="8"/>
    <n v="311.52"/>
    <n v="903.04"/>
  </r>
  <r>
    <s v="IN-2013-42360"/>
    <x v="5"/>
    <d v="2013-07-01T00:00:00"/>
    <s v="Second Class"/>
    <x v="0"/>
    <s v="JM-15655"/>
    <s v="Jim Mitchum"/>
    <s v="Corporate"/>
    <s v="Australia"/>
    <s v="Technology"/>
    <s v="Phones"/>
    <n v="2862.6750000000002"/>
    <n v="5"/>
    <n v="763.27500000000009"/>
    <n v="897.35"/>
  </r>
  <r>
    <s v="IN-2011-81826"/>
    <x v="6"/>
    <d v="2011-11-09T00:00:00"/>
    <s v="First Class"/>
    <x v="0"/>
    <s v="TS-21340"/>
    <s v="Toby Swindell"/>
    <s v="Consumer"/>
    <s v="New Zealand"/>
    <s v="Furniture"/>
    <s v="Chairs"/>
    <n v="1822.0799999999997"/>
    <n v="4"/>
    <n v="564.84"/>
    <n v="894.77"/>
  </r>
  <r>
    <s v="IN-2012-86369"/>
    <x v="7"/>
    <d v="2012-04-18T00:00:00"/>
    <s v="Standard Class"/>
    <x v="1"/>
    <s v="MB-18085"/>
    <s v="Mick Brown"/>
    <s v="Consumer"/>
    <s v="New Zealand"/>
    <s v="Furniture"/>
    <s v="Tables"/>
    <n v="5244.84"/>
    <n v="6"/>
    <n v="996.4799999999999"/>
    <n v="878.38"/>
  </r>
  <r>
    <s v="CA-2014-135909"/>
    <x v="8"/>
    <d v="2014-10-21T00:00:00"/>
    <s v="Standard Class"/>
    <x v="2"/>
    <s v="JW-15220"/>
    <s v="Jane Waco"/>
    <s v="Corporate"/>
    <s v="United States"/>
    <s v="Office Supplies"/>
    <s v="Binders"/>
    <n v="5083.96"/>
    <n v="5"/>
    <n v="1906.4849999999999"/>
    <n v="867.69"/>
  </r>
  <r>
    <s v="CA-2012-116638"/>
    <x v="9"/>
    <d v="2012-01-31T00:00:00"/>
    <s v="Second Class"/>
    <x v="0"/>
    <s v="JH-15985"/>
    <s v="Joseph Holt"/>
    <s v="Consumer"/>
    <s v="United States"/>
    <s v="Furniture"/>
    <s v="Tables"/>
    <n v="4297.6440000000002"/>
    <n v="13"/>
    <n v="-1862.3124000000003"/>
    <n v="865.74"/>
  </r>
  <r>
    <s v="CA-2011-102988"/>
    <x v="10"/>
    <d v="2011-04-09T00:00:00"/>
    <s v="Second Class"/>
    <x v="1"/>
    <s v="GM-14695"/>
    <s v="Greg Maxwell"/>
    <s v="Corporate"/>
    <s v="United States"/>
    <s v="Office Supplies"/>
    <s v="Supplies"/>
    <n v="4164.0499999999993"/>
    <n v="5"/>
    <n v="83.281000000000063"/>
    <n v="846.54"/>
  </r>
  <r>
    <s v="ID-2012-28402"/>
    <x v="11"/>
    <d v="2012-04-22T00:00:00"/>
    <s v="First Class"/>
    <x v="1"/>
    <s v="AJ-10780"/>
    <s v="Anthony Jacobs"/>
    <s v="Corporate"/>
    <s v="Afghanistan"/>
    <s v="Furniture"/>
    <s v="Tables"/>
    <n v="4626.1499999999996"/>
    <n v="5"/>
    <n v="647.54999999999995"/>
    <n v="835.57"/>
  </r>
  <r>
    <s v="SA-2011-1830"/>
    <x v="12"/>
    <d v="2011-12-29T00:00:00"/>
    <s v="Second Class"/>
    <x v="0"/>
    <s v="MM-7260"/>
    <s v="Magdelene Morse"/>
    <s v="Consumer"/>
    <s v="Saudi Arabia"/>
    <s v="Technology"/>
    <s v="Phones"/>
    <n v="2616.96"/>
    <n v="4"/>
    <n v="1151.4000000000001"/>
    <n v="832.41"/>
  </r>
  <r>
    <s v="MX-2012-130015"/>
    <x v="13"/>
    <d v="2012-11-13T00:00:00"/>
    <s v="Same Day"/>
    <x v="1"/>
    <s v="VF-21715"/>
    <s v="Vicky Freymann"/>
    <s v="Home Office"/>
    <s v="Brazil"/>
    <s v="Furniture"/>
    <s v="Chairs"/>
    <n v="2221.8000000000002"/>
    <n v="7"/>
    <n v="622.02"/>
    <n v="810.25"/>
  </r>
  <r>
    <s v="IN-2013-73951"/>
    <x v="14"/>
    <d v="2013-06-08T00:00:00"/>
    <s v="Second Class"/>
    <x v="2"/>
    <s v="PF-19120"/>
    <s v="Peter Fuller"/>
    <s v="Consumer"/>
    <s v="China"/>
    <s v="Office Supplies"/>
    <s v="Appliances"/>
    <n v="3701.5199999999995"/>
    <n v="12"/>
    <n v="1036.08"/>
    <n v="804.54"/>
  </r>
  <r>
    <s v="ES-2014-5099955"/>
    <x v="15"/>
    <d v="2014-08-03T00:00:00"/>
    <s v="Second Class"/>
    <x v="0"/>
    <s v="BP-11185"/>
    <s v="Ben Peterman"/>
    <s v="Corporate"/>
    <s v="France"/>
    <s v="Office Supplies"/>
    <s v="Appliances"/>
    <n v="1869.5879999999997"/>
    <n v="4"/>
    <n v="186.94800000000004"/>
    <n v="801.66"/>
  </r>
  <r>
    <s v="CA-2014-143567"/>
    <x v="16"/>
    <d v="2014-11-06T00:00:00"/>
    <s v="Second Class"/>
    <x v="1"/>
    <s v="TB-21175"/>
    <s v="Thomas Boland"/>
    <s v="Corporate"/>
    <s v="United States"/>
    <s v="Technology"/>
    <s v="Accessories"/>
    <n v="2249.91"/>
    <n v="9"/>
    <n v="517.47930000000008"/>
    <n v="780.7"/>
  </r>
  <r>
    <s v="ES-2014-1651774"/>
    <x v="17"/>
    <d v="2014-09-14T00:00:00"/>
    <s v="Standard Class"/>
    <x v="2"/>
    <s v="PJ-18835"/>
    <s v="Patrick Jones"/>
    <s v="Corporate"/>
    <s v="Italy"/>
    <s v="Office Supplies"/>
    <s v="Appliances"/>
    <n v="7958.58"/>
    <n v="14"/>
    <n v="3979.0799999999995"/>
    <n v="778.32"/>
  </r>
  <r>
    <s v="IN-2014-11763"/>
    <x v="18"/>
    <d v="2014-02-01T00:00:00"/>
    <s v="First Class"/>
    <x v="0"/>
    <s v="JS-15685"/>
    <s v="Jim Sink"/>
    <s v="Corporate"/>
    <s v="Australia"/>
    <s v="Technology"/>
    <s v="Copiers"/>
    <n v="2565.5940000000001"/>
    <n v="9"/>
    <n v="28.40399999999994"/>
    <n v="766.93"/>
  </r>
  <r>
    <s v="TZ-2014-8190"/>
    <x v="19"/>
    <d v="2014-12-07T00:00:00"/>
    <s v="Second Class"/>
    <x v="1"/>
    <s v="RH-9555"/>
    <s v="Ritsa Hightower"/>
    <s v="Consumer"/>
    <s v="Tanzania"/>
    <s v="Office Supplies"/>
    <s v="Appliances"/>
    <n v="3409.74"/>
    <n v="6"/>
    <n v="818.28"/>
    <n v="763.38"/>
  </r>
  <r>
    <s v="PL-2012-7820"/>
    <x v="20"/>
    <d v="2012-08-10T00:00:00"/>
    <s v="First Class"/>
    <x v="2"/>
    <s v="AB-600"/>
    <s v="Ann Blume"/>
    <s v="Corporate"/>
    <s v="Poland"/>
    <s v="Furniture"/>
    <s v="Tables"/>
    <n v="1977.7199999999998"/>
    <n v="4"/>
    <n v="276.84000000000003"/>
    <n v="759.47"/>
  </r>
  <r>
    <s v="CA-2011-154627"/>
    <x v="21"/>
    <d v="2011-10-31T00:00:00"/>
    <s v="First Class"/>
    <x v="2"/>
    <s v="SA-20830"/>
    <s v="Sue Ann Reed"/>
    <s v="Consumer"/>
    <s v="United States"/>
    <s v="Technology"/>
    <s v="Phones"/>
    <n v="2735.9520000000002"/>
    <n v="6"/>
    <n v="341.99399999999969"/>
    <n v="752.51"/>
  </r>
  <r>
    <s v="IN-2011-44803"/>
    <x v="22"/>
    <d v="2011-05-03T00:00:00"/>
    <s v="First Class"/>
    <x v="2"/>
    <s v="JK-15325"/>
    <s v="Jason Klamczynski"/>
    <s v="Corporate"/>
    <s v="China"/>
    <s v="Furniture"/>
    <s v="Chairs"/>
    <n v="2753.9999999999991"/>
    <n v="6"/>
    <n v="358.02"/>
    <n v="752.47"/>
  </r>
  <r>
    <s v="ES-2013-2860574"/>
    <x v="23"/>
    <d v="2013-03-01T00:00:00"/>
    <s v="Second Class"/>
    <x v="2"/>
    <s v="LB-16795"/>
    <s v="Laurel Beltran"/>
    <s v="Home Office"/>
    <s v="United Kingdom"/>
    <s v="Office Supplies"/>
    <s v="Appliances"/>
    <n v="5273.7"/>
    <n v="10"/>
    <n v="1898.4"/>
    <n v="730.91"/>
  </r>
  <r>
    <s v="US-2014-133193"/>
    <x v="15"/>
    <d v="2014-08-01T00:00:00"/>
    <s v="First Class"/>
    <x v="2"/>
    <s v="NP-18325"/>
    <s v="Naresj Patel"/>
    <s v="Consumer"/>
    <s v="Mexico"/>
    <s v="Technology"/>
    <s v="Phones"/>
    <n v="1713.8400000000001"/>
    <n v="4"/>
    <n v="445.52"/>
    <n v="728.96800000000007"/>
  </r>
  <r>
    <s v="MX-2014-165309"/>
    <x v="24"/>
    <d v="2014-09-08T00:00:00"/>
    <s v="First Class"/>
    <x v="2"/>
    <s v="VD-21670"/>
    <s v="Valerie Dominguez"/>
    <s v="Consumer"/>
    <s v="El Salvador"/>
    <s v="Furniture"/>
    <s v="Tables"/>
    <n v="2106.4960000000001"/>
    <n v="8"/>
    <n v="526.49600000000009"/>
    <n v="728.38900000000001"/>
  </r>
  <r>
    <s v="IN-2011-10286"/>
    <x v="25"/>
    <d v="2011-12-20T00:00:00"/>
    <s v="First Class"/>
    <x v="2"/>
    <s v="PB-19210"/>
    <s v="Phillip Breyer"/>
    <s v="Corporate"/>
    <s v="Taiwan"/>
    <s v="Furniture"/>
    <s v="Tables"/>
    <n v="1715.1599999999999"/>
    <n v="2"/>
    <n v="720.36"/>
    <n v="725.57"/>
  </r>
  <r>
    <s v="ES-2011-4699764"/>
    <x v="26"/>
    <d v="2011-03-17T00:00:00"/>
    <s v="Second Class"/>
    <x v="0"/>
    <s v="EB-14110"/>
    <s v="Eugene Barchas"/>
    <s v="Consumer"/>
    <s v="Germany"/>
    <s v="Office Supplies"/>
    <s v="Appliances"/>
    <n v="3069.7380000000003"/>
    <n v="6"/>
    <n v="1364.2379999999996"/>
    <n v="725.34"/>
  </r>
  <r>
    <s v="CA-2013-159016"/>
    <x v="27"/>
    <d v="2013-03-12T00:00:00"/>
    <s v="First Class"/>
    <x v="1"/>
    <s v="KF-16285"/>
    <s v="Karen Ferguson"/>
    <s v="Home Office"/>
    <s v="United States"/>
    <s v="Technology"/>
    <s v="Phones"/>
    <n v="4158.9120000000003"/>
    <n v="8"/>
    <n v="363.90480000000025"/>
    <n v="714.66"/>
  </r>
  <r>
    <s v="IN-2012-44810"/>
    <x v="28"/>
    <d v="2012-02-25T00:00:00"/>
    <s v="Same Day"/>
    <x v="2"/>
    <s v="BP-11230"/>
    <s v="Benjamin Patterson"/>
    <s v="Consumer"/>
    <s v="India"/>
    <s v="Furniture"/>
    <s v="Chairs"/>
    <n v="1878.7199999999998"/>
    <n v="4"/>
    <n v="582.36"/>
    <n v="704.08"/>
  </r>
  <r>
    <s v="US-2011-128776"/>
    <x v="29"/>
    <d v="2011-12-30T00:00:00"/>
    <s v="Second Class"/>
    <x v="0"/>
    <s v="RR-19525"/>
    <s v="Rick Reed"/>
    <s v="Corporate"/>
    <s v="Dominican Republic"/>
    <s v="Technology"/>
    <s v="Phones"/>
    <n v="1696.64"/>
    <n v="5"/>
    <n v="-148.46000000000004"/>
    <n v="704.05600000000004"/>
  </r>
  <r>
    <s v="ES-2012-5870268"/>
    <x v="30"/>
    <d v="2012-07-19T00:00:00"/>
    <s v="First Class"/>
    <x v="0"/>
    <s v="BS-11365"/>
    <s v="Bill Shonely"/>
    <s v="Corporate"/>
    <s v="France"/>
    <s v="Technology"/>
    <s v="Machines"/>
    <n v="2402.8650000000002"/>
    <n v="9"/>
    <n v="763.15499999999997"/>
    <n v="699.55"/>
  </r>
  <r>
    <s v="CA-2012-139731"/>
    <x v="31"/>
    <d v="2012-10-15T00:00:00"/>
    <s v="Same Day"/>
    <x v="0"/>
    <s v="JE-15745"/>
    <s v="Joel Eaton"/>
    <s v="Consumer"/>
    <s v="United States"/>
    <s v="Furniture"/>
    <s v="Chairs"/>
    <n v="2453.4299999999998"/>
    <n v="5"/>
    <n v="-350.4899999999999"/>
    <n v="690.42"/>
  </r>
  <r>
    <s v="IN-2011-28087"/>
    <x v="32"/>
    <d v="2011-11-05T00:00:00"/>
    <s v="Second Class"/>
    <x v="0"/>
    <s v="DP-13105"/>
    <s v="Dave Poirier"/>
    <s v="Corporate"/>
    <s v="Australia"/>
    <s v="Office Supplies"/>
    <s v="Appliances"/>
    <n v="2526.9299999999998"/>
    <n v="5"/>
    <n v="561.48"/>
    <n v="689.8"/>
  </r>
  <r>
    <s v="CA-2011-168494"/>
    <x v="33"/>
    <d v="2011-12-14T00:00:00"/>
    <s v="Second Class"/>
    <x v="0"/>
    <s v="NP-18700"/>
    <s v="Nora Preis"/>
    <s v="Consumer"/>
    <s v="United States"/>
    <s v="Furniture"/>
    <s v="Tables"/>
    <n v="3610.848"/>
    <n v="12"/>
    <n v="135.4068000000002"/>
    <n v="683.12"/>
  </r>
  <r>
    <s v="CG-2011-8610"/>
    <x v="34"/>
    <d v="2011-09-15T00:00:00"/>
    <s v="First Class"/>
    <x v="0"/>
    <s v="AH-30"/>
    <s v="Aaron Hawkins"/>
    <s v="Corporate"/>
    <s v="Democratic Republic of the Congo"/>
    <s v="Technology"/>
    <s v="Phones"/>
    <n v="3817.26"/>
    <n v="6"/>
    <n v="1068.6599999999999"/>
    <n v="678.15"/>
  </r>
  <r>
    <s v="CA-2011-160766"/>
    <x v="34"/>
    <d v="2011-09-14T00:00:00"/>
    <s v="Same Day"/>
    <x v="0"/>
    <s v="DM-13015"/>
    <s v="Darrin Martin"/>
    <s v="Consumer"/>
    <s v="United States"/>
    <s v="Technology"/>
    <s v="Machines"/>
    <n v="2799.96"/>
    <n v="4"/>
    <n v="1371.9803999999999"/>
    <n v="675.15"/>
  </r>
  <r>
    <s v="US-2014-168116"/>
    <x v="35"/>
    <d v="2014-11-05T00:00:00"/>
    <s v="Same Day"/>
    <x v="0"/>
    <s v="GT-14635"/>
    <s v="Grant Thornton"/>
    <s v="Corporate"/>
    <s v="United States"/>
    <s v="Technology"/>
    <s v="Machines"/>
    <n v="7999.98"/>
    <n v="4"/>
    <n v="-3839.9903999999988"/>
    <n v="674.82"/>
  </r>
  <r>
    <s v="ES-2014-2637201"/>
    <x v="36"/>
    <d v="2014-01-18T00:00:00"/>
    <s v="Standard Class"/>
    <x v="0"/>
    <s v="PO-18865"/>
    <s v="Patrick O'Donnell"/>
    <s v="Consumer"/>
    <s v="United Kingdom"/>
    <s v="Technology"/>
    <s v="Copiers"/>
    <n v="4141.0200000000004"/>
    <n v="13"/>
    <n v="1697.67"/>
    <n v="668.96"/>
  </r>
  <r>
    <s v="IN-2011-61302"/>
    <x v="37"/>
    <d v="2011-01-11T00:00:00"/>
    <s v="First Class"/>
    <x v="0"/>
    <s v="DL-12865"/>
    <s v="Dan Lawera"/>
    <s v="Consumer"/>
    <s v="Australia"/>
    <s v="Technology"/>
    <s v="Phones"/>
    <n v="2875.0950000000007"/>
    <n v="5"/>
    <n v="511.09499999999991"/>
    <n v="665.27"/>
  </r>
  <r>
    <s v="ID-2013-63976"/>
    <x v="38"/>
    <d v="2013-08-26T00:00:00"/>
    <s v="Standard Class"/>
    <x v="0"/>
    <s v="JB-16000"/>
    <s v="Joy Bell-"/>
    <s v="Consumer"/>
    <s v="Indonesia"/>
    <s v="Technology"/>
    <s v="Phones"/>
    <n v="3200.5962"/>
    <n v="6"/>
    <n v="-77.203799999999887"/>
    <n v="660.87"/>
  </r>
  <r>
    <s v="IN-2014-37320"/>
    <x v="39"/>
    <d v="2014-11-15T00:00:00"/>
    <s v="Standard Class"/>
    <x v="0"/>
    <s v="BF-11005"/>
    <s v="Barry Franz"/>
    <s v="Home Office"/>
    <s v="India"/>
    <s v="Technology"/>
    <s v="Phones"/>
    <n v="4518.78"/>
    <n v="7"/>
    <n v="632.52"/>
    <n v="658.69"/>
  </r>
  <r>
    <s v="IN-2014-76016"/>
    <x v="40"/>
    <d v="2014-09-28T00:00:00"/>
    <s v="Second Class"/>
    <x v="0"/>
    <s v="VG-21805"/>
    <s v="Vivek Grady"/>
    <s v="Corporate"/>
    <s v="India"/>
    <s v="Furniture"/>
    <s v="Bookcases"/>
    <n v="5667.87"/>
    <n v="13"/>
    <n v="2097.0300000000002"/>
    <n v="658.35"/>
  </r>
  <r>
    <s v="ES-2012-5877219"/>
    <x v="41"/>
    <d v="2012-12-17T00:00:00"/>
    <s v="Standard Class"/>
    <x v="0"/>
    <s v="GT-14710"/>
    <s v="Greg Tran"/>
    <s v="Consumer"/>
    <s v="United Kingdom"/>
    <s v="Technology"/>
    <s v="Phones"/>
    <n v="5785.0199999999995"/>
    <n v="9"/>
    <n v="404.73"/>
    <n v="656.73"/>
  </r>
  <r>
    <s v="IT-2011-3183678"/>
    <x v="42"/>
    <d v="2011-09-25T00:00:00"/>
    <s v="First Class"/>
    <x v="0"/>
    <s v="ZC-21910"/>
    <s v="Zuschuss Carroll"/>
    <s v="Consumer"/>
    <s v="Germany"/>
    <s v="Office Supplies"/>
    <s v="Appliances"/>
    <n v="3018.6239999999998"/>
    <n v="7"/>
    <n v="377.24399999999991"/>
    <n v="655.91"/>
  </r>
  <r>
    <s v="CA-2011-116904"/>
    <x v="42"/>
    <d v="2011-09-28T00:00:00"/>
    <s v="Standard Class"/>
    <x v="0"/>
    <s v="SC-20095"/>
    <s v="Sanjit Chand"/>
    <s v="Consumer"/>
    <s v="United States"/>
    <s v="Office Supplies"/>
    <s v="Binders"/>
    <n v="9449.9500000000007"/>
    <n v="5"/>
    <n v="4630.4755000000005"/>
    <n v="655.61"/>
  </r>
  <r>
    <s v="IT-2013-3085011"/>
    <x v="43"/>
    <d v="2013-03-08T00:00:00"/>
    <s v="Same Day"/>
    <x v="0"/>
    <s v="EB-13840"/>
    <s v="Ellis Ballard"/>
    <s v="Corporate"/>
    <s v="France"/>
    <s v="Furniture"/>
    <s v="Chairs"/>
    <n v="2092.4999999999995"/>
    <n v="5"/>
    <n v="720.74999999999989"/>
    <n v="652.98"/>
  </r>
  <r>
    <s v="IN-2014-50473"/>
    <x v="44"/>
    <d v="2014-08-29T00:00:00"/>
    <s v="First Class"/>
    <x v="2"/>
    <s v="AP-10915"/>
    <s v="Arthur Prichep"/>
    <s v="Consumer"/>
    <s v="China"/>
    <s v="Furniture"/>
    <s v="Chairs"/>
    <n v="2761.2"/>
    <n v="6"/>
    <n v="110.34"/>
    <n v="644.75"/>
  </r>
  <r>
    <s v="IN-2014-35983"/>
    <x v="45"/>
    <d v="2014-05-01T00:00:00"/>
    <s v="Same Day"/>
    <x v="0"/>
    <s v="SW-20275"/>
    <s v="Scott Williamson"/>
    <s v="Consumer"/>
    <s v="India"/>
    <s v="Technology"/>
    <s v="Machines"/>
    <n v="2174.13"/>
    <n v="7"/>
    <n v="500.00999999999993"/>
    <n v="637.86"/>
  </r>
  <r>
    <s v="MX-2014-126984"/>
    <x v="46"/>
    <d v="2014-12-20T00:00:00"/>
    <s v="Second Class"/>
    <x v="1"/>
    <s v="JH-15820"/>
    <s v="John Huston"/>
    <s v="Consumer"/>
    <s v="Uruguay"/>
    <s v="Furniture"/>
    <s v="Chairs"/>
    <n v="3473.1399999999994"/>
    <n v="11"/>
    <n v="868.12000000000012"/>
    <n v="634.5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C83E1D-F3FE-44DB-8FA0-F8A53AB1C667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2">
    <pivotField showAll="0"/>
    <pivotField numFmtId="14" showAll="0">
      <items count="92">
        <item x="31"/>
        <item x="58"/>
        <item x="9"/>
        <item x="44"/>
        <item x="19"/>
        <item x="80"/>
        <item x="75"/>
        <item x="2"/>
        <item x="67"/>
        <item x="47"/>
        <item x="16"/>
        <item x="49"/>
        <item x="5"/>
        <item x="86"/>
        <item x="13"/>
        <item x="1"/>
        <item x="82"/>
        <item x="74"/>
        <item x="54"/>
        <item x="41"/>
        <item x="29"/>
        <item x="33"/>
        <item x="56"/>
        <item x="45"/>
        <item x="11"/>
        <item x="37"/>
        <item x="23"/>
        <item x="39"/>
        <item x="8"/>
        <item x="43"/>
        <item x="25"/>
        <item x="62"/>
        <item x="15"/>
        <item x="18"/>
        <item x="68"/>
        <item x="89"/>
        <item x="20"/>
        <item x="24"/>
        <item x="66"/>
        <item x="6"/>
        <item x="84"/>
        <item x="3"/>
        <item x="88"/>
        <item x="55"/>
        <item x="32"/>
        <item x="46"/>
        <item x="34"/>
        <item x="63"/>
        <item x="71"/>
        <item x="26"/>
        <item x="40"/>
        <item x="79"/>
        <item x="27"/>
        <item x="64"/>
        <item x="52"/>
        <item x="85"/>
        <item x="76"/>
        <item x="83"/>
        <item x="12"/>
        <item x="28"/>
        <item x="70"/>
        <item x="65"/>
        <item x="51"/>
        <item x="14"/>
        <item x="77"/>
        <item x="69"/>
        <item x="53"/>
        <item x="78"/>
        <item x="59"/>
        <item x="42"/>
        <item x="30"/>
        <item x="72"/>
        <item x="17"/>
        <item x="36"/>
        <item x="61"/>
        <item x="22"/>
        <item x="48"/>
        <item x="21"/>
        <item x="50"/>
        <item x="35"/>
        <item x="60"/>
        <item x="10"/>
        <item x="90"/>
        <item x="0"/>
        <item x="38"/>
        <item x="4"/>
        <item x="73"/>
        <item x="87"/>
        <item x="81"/>
        <item x="7"/>
        <item x="57"/>
        <item t="default"/>
      </items>
    </pivotField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numFmtId="1" showAll="0"/>
    <pivotField dataField="1"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CAF05-94DA-4073-B21E-4BCF5E758759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2">
    <pivotField showAll="0"/>
    <pivotField axis="axisRow" numFmtId="14" showAll="0">
      <items count="92">
        <item x="31"/>
        <item x="58"/>
        <item x="9"/>
        <item x="44"/>
        <item x="19"/>
        <item x="80"/>
        <item x="75"/>
        <item x="2"/>
        <item x="67"/>
        <item x="47"/>
        <item x="16"/>
        <item x="49"/>
        <item x="5"/>
        <item x="86"/>
        <item x="13"/>
        <item x="1"/>
        <item x="82"/>
        <item x="74"/>
        <item x="54"/>
        <item x="41"/>
        <item x="29"/>
        <item x="33"/>
        <item x="56"/>
        <item x="45"/>
        <item x="11"/>
        <item x="37"/>
        <item x="23"/>
        <item x="39"/>
        <item x="8"/>
        <item x="43"/>
        <item x="25"/>
        <item x="62"/>
        <item x="15"/>
        <item x="18"/>
        <item x="68"/>
        <item x="89"/>
        <item x="20"/>
        <item x="24"/>
        <item x="66"/>
        <item x="6"/>
        <item x="84"/>
        <item x="3"/>
        <item x="88"/>
        <item x="55"/>
        <item x="32"/>
        <item x="46"/>
        <item x="34"/>
        <item x="63"/>
        <item x="71"/>
        <item x="26"/>
        <item x="40"/>
        <item x="79"/>
        <item x="27"/>
        <item x="64"/>
        <item x="52"/>
        <item x="85"/>
        <item x="76"/>
        <item x="83"/>
        <item x="12"/>
        <item x="28"/>
        <item x="70"/>
        <item x="65"/>
        <item x="51"/>
        <item x="14"/>
        <item x="77"/>
        <item x="69"/>
        <item x="53"/>
        <item x="78"/>
        <item x="59"/>
        <item x="42"/>
        <item x="30"/>
        <item x="72"/>
        <item x="17"/>
        <item x="36"/>
        <item x="61"/>
        <item x="22"/>
        <item x="48"/>
        <item x="21"/>
        <item x="50"/>
        <item x="35"/>
        <item x="60"/>
        <item x="10"/>
        <item x="90"/>
        <item x="0"/>
        <item x="38"/>
        <item x="4"/>
        <item x="73"/>
        <item x="87"/>
        <item x="81"/>
        <item x="7"/>
        <item x="57"/>
        <item t="default"/>
      </items>
    </pivotField>
    <pivotField showAll="0"/>
    <pivotField showAll="0"/>
    <pivotField showAll="0"/>
    <pivotField showAll="0"/>
    <pivotField numFmtId="1" showAll="0"/>
    <pivotField dataField="1" numFmtId="164" showAll="0"/>
    <pivotField numFmtId="164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4">
    <field x="11"/>
    <field x="10"/>
    <field x="9"/>
    <field x="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4536D9-DB42-4ADC-89B5-D0EAC5A2D854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2">
    <pivotField showAll="0"/>
    <pivotField axis="axisRow" numFmtId="14" showAll="0">
      <items count="92">
        <item x="31"/>
        <item x="58"/>
        <item x="9"/>
        <item x="44"/>
        <item x="19"/>
        <item x="80"/>
        <item x="75"/>
        <item x="2"/>
        <item x="67"/>
        <item x="47"/>
        <item x="16"/>
        <item x="49"/>
        <item x="5"/>
        <item x="86"/>
        <item x="13"/>
        <item x="1"/>
        <item x="82"/>
        <item x="74"/>
        <item x="54"/>
        <item x="41"/>
        <item x="29"/>
        <item x="33"/>
        <item x="56"/>
        <item x="45"/>
        <item x="11"/>
        <item x="37"/>
        <item x="23"/>
        <item x="39"/>
        <item x="8"/>
        <item x="43"/>
        <item x="25"/>
        <item x="62"/>
        <item x="15"/>
        <item x="18"/>
        <item x="68"/>
        <item x="89"/>
        <item x="20"/>
        <item x="24"/>
        <item x="66"/>
        <item x="6"/>
        <item x="84"/>
        <item x="3"/>
        <item x="88"/>
        <item x="55"/>
        <item x="32"/>
        <item x="46"/>
        <item x="34"/>
        <item x="63"/>
        <item x="71"/>
        <item x="26"/>
        <item x="40"/>
        <item x="79"/>
        <item x="27"/>
        <item x="64"/>
        <item x="52"/>
        <item x="85"/>
        <item x="76"/>
        <item x="83"/>
        <item x="12"/>
        <item x="28"/>
        <item x="70"/>
        <item x="65"/>
        <item x="51"/>
        <item x="14"/>
        <item x="77"/>
        <item x="69"/>
        <item x="53"/>
        <item x="78"/>
        <item x="59"/>
        <item x="42"/>
        <item x="30"/>
        <item x="72"/>
        <item x="17"/>
        <item x="36"/>
        <item x="61"/>
        <item x="22"/>
        <item x="48"/>
        <item x="21"/>
        <item x="50"/>
        <item x="35"/>
        <item x="60"/>
        <item x="10"/>
        <item x="90"/>
        <item x="0"/>
        <item x="38"/>
        <item x="4"/>
        <item x="73"/>
        <item x="87"/>
        <item x="81"/>
        <item x="7"/>
        <item x="57"/>
        <item t="default"/>
      </items>
    </pivotField>
    <pivotField showAll="0"/>
    <pivotField showAll="0"/>
    <pivotField showAll="0"/>
    <pivotField showAll="0"/>
    <pivotField numFmtId="1" showAll="0"/>
    <pivotField dataField="1" numFmtId="164" showAll="0"/>
    <pivotField numFmtId="164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2">
    <field x="11"/>
    <field x="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7" baseField="0" baseItem="0" numFmtId="164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D79DC-3FBE-40AF-BA3E-BBEC3D406C49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10" firstHeaderRow="1" firstDataRow="3" firstDataCol="1"/>
  <pivotFields count="12">
    <pivotField dataField="1" showAll="0"/>
    <pivotField axis="axisCol" numFmtId="14" showAll="0">
      <items count="92">
        <item x="31"/>
        <item x="58"/>
        <item x="9"/>
        <item x="44"/>
        <item x="19"/>
        <item x="80"/>
        <item x="75"/>
        <item x="2"/>
        <item x="67"/>
        <item x="47"/>
        <item x="16"/>
        <item x="49"/>
        <item x="5"/>
        <item x="86"/>
        <item x="13"/>
        <item x="1"/>
        <item x="82"/>
        <item x="74"/>
        <item x="54"/>
        <item x="41"/>
        <item x="29"/>
        <item x="33"/>
        <item x="56"/>
        <item x="45"/>
        <item x="11"/>
        <item x="37"/>
        <item x="23"/>
        <item x="39"/>
        <item x="8"/>
        <item x="43"/>
        <item x="25"/>
        <item x="62"/>
        <item x="15"/>
        <item x="18"/>
        <item x="68"/>
        <item x="89"/>
        <item x="20"/>
        <item x="24"/>
        <item x="66"/>
        <item x="6"/>
        <item x="84"/>
        <item x="3"/>
        <item x="88"/>
        <item x="55"/>
        <item x="32"/>
        <item x="46"/>
        <item x="34"/>
        <item x="63"/>
        <item x="71"/>
        <item x="26"/>
        <item x="40"/>
        <item x="79"/>
        <item x="27"/>
        <item x="64"/>
        <item x="52"/>
        <item x="85"/>
        <item x="76"/>
        <item x="83"/>
        <item x="12"/>
        <item x="28"/>
        <item x="70"/>
        <item x="65"/>
        <item x="51"/>
        <item x="14"/>
        <item x="77"/>
        <item x="69"/>
        <item x="53"/>
        <item x="78"/>
        <item x="59"/>
        <item x="42"/>
        <item x="30"/>
        <item x="72"/>
        <item x="17"/>
        <item x="36"/>
        <item x="61"/>
        <item x="22"/>
        <item x="48"/>
        <item x="21"/>
        <item x="50"/>
        <item x="35"/>
        <item x="60"/>
        <item x="10"/>
        <item x="90"/>
        <item x="0"/>
        <item x="38"/>
        <item x="4"/>
        <item x="73"/>
        <item x="87"/>
        <item x="81"/>
        <item x="7"/>
        <item x="57"/>
        <item t="default"/>
      </items>
    </pivotField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numFmtId="1" showAll="0"/>
    <pivotField numFmtId="164" showAll="0"/>
    <pivotField numFmtId="164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11"/>
    <field x="1"/>
  </colFields>
  <colItems count="5">
    <i>
      <x v="1"/>
    </i>
    <i>
      <x v="2"/>
    </i>
    <i>
      <x v="3"/>
    </i>
    <i>
      <x v="4"/>
    </i>
    <i t="grand">
      <x/>
    </i>
  </colItems>
  <dataFields count="1">
    <dataField name="Count of Transaction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E2926-A231-4660-A5E0-D8035220F2AB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2">
    <pivotField showAll="0"/>
    <pivotField numFmtId="14" showAll="0">
      <items count="92">
        <item x="31"/>
        <item x="58"/>
        <item x="9"/>
        <item x="44"/>
        <item x="19"/>
        <item x="80"/>
        <item x="75"/>
        <item x="2"/>
        <item x="67"/>
        <item x="47"/>
        <item x="16"/>
        <item x="49"/>
        <item x="5"/>
        <item x="86"/>
        <item x="13"/>
        <item x="1"/>
        <item x="82"/>
        <item x="74"/>
        <item x="54"/>
        <item x="41"/>
        <item x="29"/>
        <item x="33"/>
        <item x="56"/>
        <item x="45"/>
        <item x="11"/>
        <item x="37"/>
        <item x="23"/>
        <item x="39"/>
        <item x="8"/>
        <item x="43"/>
        <item x="25"/>
        <item x="62"/>
        <item x="15"/>
        <item x="18"/>
        <item x="68"/>
        <item x="89"/>
        <item x="20"/>
        <item x="24"/>
        <item x="66"/>
        <item x="6"/>
        <item x="84"/>
        <item x="3"/>
        <item x="88"/>
        <item x="55"/>
        <item x="32"/>
        <item x="46"/>
        <item x="34"/>
        <item x="63"/>
        <item x="71"/>
        <item x="26"/>
        <item x="40"/>
        <item x="79"/>
        <item x="27"/>
        <item x="64"/>
        <item x="52"/>
        <item x="85"/>
        <item x="76"/>
        <item x="83"/>
        <item x="12"/>
        <item x="28"/>
        <item x="70"/>
        <item x="65"/>
        <item x="51"/>
        <item x="14"/>
        <item x="77"/>
        <item x="69"/>
        <item x="53"/>
        <item x="78"/>
        <item x="59"/>
        <item x="42"/>
        <item x="30"/>
        <item x="72"/>
        <item x="17"/>
        <item x="36"/>
        <item x="61"/>
        <item x="22"/>
        <item x="48"/>
        <item x="21"/>
        <item x="50"/>
        <item x="35"/>
        <item x="60"/>
        <item x="10"/>
        <item x="90"/>
        <item x="0"/>
        <item x="38"/>
        <item x="4"/>
        <item x="73"/>
        <item x="87"/>
        <item x="81"/>
        <item x="7"/>
        <item x="57"/>
        <item t="default"/>
      </items>
    </pivotField>
    <pivotField showAll="0"/>
    <pivotField showAll="0"/>
    <pivotField axis="axisRow" showAll="0">
      <items count="7">
        <item x="4"/>
        <item x="1"/>
        <item x="3"/>
        <item x="2"/>
        <item x="0"/>
        <item x="5"/>
        <item t="default"/>
      </items>
    </pivotField>
    <pivotField showAll="0"/>
    <pivotField numFmtId="1" showAll="0"/>
    <pivotField dataField="1" numFmtId="164" showAll="0"/>
    <pivotField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es" fld="7" subtotal="average" baseField="4" baseItem="3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CC91E-3555-491F-B0CF-95158AB8DD38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3" firstDataCol="1"/>
  <pivotFields count="12">
    <pivotField showAll="0"/>
    <pivotField axis="axisCol" numFmtId="14" showAll="0">
      <items count="92">
        <item x="31"/>
        <item x="58"/>
        <item x="9"/>
        <item x="44"/>
        <item x="19"/>
        <item x="80"/>
        <item x="75"/>
        <item x="2"/>
        <item x="67"/>
        <item x="47"/>
        <item x="16"/>
        <item x="49"/>
        <item x="5"/>
        <item x="86"/>
        <item x="13"/>
        <item x="1"/>
        <item x="82"/>
        <item x="74"/>
        <item x="54"/>
        <item x="41"/>
        <item x="29"/>
        <item x="33"/>
        <item x="56"/>
        <item x="45"/>
        <item x="11"/>
        <item x="37"/>
        <item x="23"/>
        <item x="39"/>
        <item x="8"/>
        <item x="43"/>
        <item x="25"/>
        <item x="62"/>
        <item x="15"/>
        <item x="18"/>
        <item x="68"/>
        <item x="89"/>
        <item x="20"/>
        <item x="24"/>
        <item x="66"/>
        <item x="6"/>
        <item x="84"/>
        <item x="3"/>
        <item x="88"/>
        <item x="55"/>
        <item x="32"/>
        <item x="46"/>
        <item x="34"/>
        <item x="63"/>
        <item x="71"/>
        <item x="26"/>
        <item x="40"/>
        <item x="79"/>
        <item x="27"/>
        <item x="64"/>
        <item x="52"/>
        <item x="85"/>
        <item x="76"/>
        <item x="83"/>
        <item x="12"/>
        <item x="28"/>
        <item x="70"/>
        <item x="65"/>
        <item x="51"/>
        <item x="14"/>
        <item x="77"/>
        <item x="69"/>
        <item x="53"/>
        <item x="78"/>
        <item x="59"/>
        <item x="42"/>
        <item x="30"/>
        <item x="72"/>
        <item x="17"/>
        <item x="36"/>
        <item x="61"/>
        <item x="22"/>
        <item x="48"/>
        <item x="21"/>
        <item x="50"/>
        <item x="35"/>
        <item x="60"/>
        <item x="10"/>
        <item x="90"/>
        <item x="0"/>
        <item x="38"/>
        <item x="4"/>
        <item x="73"/>
        <item x="87"/>
        <item x="81"/>
        <item x="7"/>
        <item x="57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numFmtId="1" showAll="0"/>
    <pivotField dataField="1" numFmtId="164" showAll="0"/>
    <pivotField numFmtId="164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2">
    <field x="11"/>
    <field x="1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Sales" fld="7" showDataAs="percentDiff" baseField="11" baseItem="1048828" numFmtId="1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F9FB8-62BD-4C56-ADA1-AE56B067D927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  ">
  <location ref="A3:B8" firstHeaderRow="1" firstDataRow="1" firstDataCol="1"/>
  <pivotFields count="12">
    <pivotField showAll="0"/>
    <pivotField numFmtId="14" showAll="0">
      <items count="92">
        <item x="31"/>
        <item x="58"/>
        <item x="9"/>
        <item x="44"/>
        <item x="19"/>
        <item x="80"/>
        <item x="75"/>
        <item x="2"/>
        <item x="67"/>
        <item x="47"/>
        <item x="16"/>
        <item x="49"/>
        <item x="5"/>
        <item x="86"/>
        <item x="13"/>
        <item x="1"/>
        <item x="82"/>
        <item x="74"/>
        <item x="54"/>
        <item x="41"/>
        <item x="29"/>
        <item x="33"/>
        <item x="56"/>
        <item x="45"/>
        <item x="11"/>
        <item x="37"/>
        <item x="23"/>
        <item x="39"/>
        <item x="8"/>
        <item x="43"/>
        <item x="25"/>
        <item x="62"/>
        <item x="15"/>
        <item x="18"/>
        <item x="68"/>
        <item x="89"/>
        <item x="20"/>
        <item x="24"/>
        <item x="66"/>
        <item x="6"/>
        <item x="84"/>
        <item x="3"/>
        <item x="88"/>
        <item x="55"/>
        <item x="32"/>
        <item x="46"/>
        <item x="34"/>
        <item x="63"/>
        <item x="71"/>
        <item x="26"/>
        <item x="40"/>
        <item x="79"/>
        <item x="27"/>
        <item x="64"/>
        <item x="52"/>
        <item x="85"/>
        <item x="76"/>
        <item x="83"/>
        <item x="12"/>
        <item x="28"/>
        <item x="70"/>
        <item x="65"/>
        <item x="51"/>
        <item x="14"/>
        <item x="77"/>
        <item x="69"/>
        <item x="53"/>
        <item x="78"/>
        <item x="59"/>
        <item x="42"/>
        <item x="30"/>
        <item x="72"/>
        <item x="17"/>
        <item x="36"/>
        <item x="61"/>
        <item x="22"/>
        <item x="48"/>
        <item x="21"/>
        <item x="50"/>
        <item x="35"/>
        <item x="60"/>
        <item x="10"/>
        <item x="90"/>
        <item x="0"/>
        <item x="38"/>
        <item x="4"/>
        <item x="73"/>
        <item x="87"/>
        <item x="81"/>
        <item x="7"/>
        <item x="57"/>
        <item t="default"/>
      </items>
    </pivotField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numFmtId="1" showAll="0"/>
    <pivotField dataField="1" numFmtId="164" showAll="0"/>
    <pivotField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showDataAs="percentOfTotal" baseField="3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A5405-95C9-49DB-AF70-FD03A0F58020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2">
    <pivotField dataField="1" showAll="0"/>
    <pivotField numFmtId="14" showAll="0">
      <items count="92">
        <item x="31"/>
        <item x="58"/>
        <item x="9"/>
        <item x="44"/>
        <item x="19"/>
        <item x="80"/>
        <item x="75"/>
        <item x="2"/>
        <item x="67"/>
        <item x="47"/>
        <item x="16"/>
        <item x="49"/>
        <item x="5"/>
        <item x="86"/>
        <item x="13"/>
        <item x="1"/>
        <item x="82"/>
        <item x="74"/>
        <item x="54"/>
        <item x="41"/>
        <item x="29"/>
        <item x="33"/>
        <item x="56"/>
        <item x="45"/>
        <item x="11"/>
        <item x="37"/>
        <item x="23"/>
        <item x="39"/>
        <item x="8"/>
        <item x="43"/>
        <item x="25"/>
        <item x="62"/>
        <item x="15"/>
        <item x="18"/>
        <item x="68"/>
        <item x="89"/>
        <item x="20"/>
        <item x="24"/>
        <item x="66"/>
        <item x="6"/>
        <item x="84"/>
        <item x="3"/>
        <item x="88"/>
        <item x="55"/>
        <item x="32"/>
        <item x="46"/>
        <item x="34"/>
        <item x="63"/>
        <item x="71"/>
        <item x="26"/>
        <item x="40"/>
        <item x="79"/>
        <item x="27"/>
        <item x="64"/>
        <item x="52"/>
        <item x="85"/>
        <item x="76"/>
        <item x="83"/>
        <item x="12"/>
        <item x="28"/>
        <item x="70"/>
        <item x="65"/>
        <item x="51"/>
        <item x="14"/>
        <item x="77"/>
        <item x="69"/>
        <item x="53"/>
        <item x="78"/>
        <item x="59"/>
        <item x="42"/>
        <item x="30"/>
        <item x="72"/>
        <item x="17"/>
        <item x="36"/>
        <item x="61"/>
        <item x="22"/>
        <item x="48"/>
        <item x="21"/>
        <item x="50"/>
        <item x="35"/>
        <item x="60"/>
        <item x="10"/>
        <item x="90"/>
        <item x="0"/>
        <item x="38"/>
        <item x="4"/>
        <item x="73"/>
        <item x="87"/>
        <item x="81"/>
        <item x="7"/>
        <item x="57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numFmtId="1" showAll="0"/>
    <pivotField numFmtId="164" showAll="0"/>
    <pivotField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ransaction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1979F-D186-4F44-B425-2F70F9F391D4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Representatives">
  <location ref="A3:B7" firstHeaderRow="1" firstDataRow="1" firstDataCol="1"/>
  <pivotFields count="12">
    <pivotField showAll="0"/>
    <pivotField numFmtId="14" showAll="0">
      <items count="92">
        <item x="31"/>
        <item x="58"/>
        <item x="9"/>
        <item x="44"/>
        <item x="19"/>
        <item x="80"/>
        <item x="75"/>
        <item x="2"/>
        <item x="67"/>
        <item x="47"/>
        <item x="16"/>
        <item x="49"/>
        <item x="5"/>
        <item x="86"/>
        <item x="13"/>
        <item x="1"/>
        <item x="82"/>
        <item x="74"/>
        <item x="54"/>
        <item x="41"/>
        <item x="29"/>
        <item x="33"/>
        <item x="56"/>
        <item x="45"/>
        <item x="11"/>
        <item x="37"/>
        <item x="23"/>
        <item x="39"/>
        <item x="8"/>
        <item x="43"/>
        <item x="25"/>
        <item x="62"/>
        <item x="15"/>
        <item x="18"/>
        <item x="68"/>
        <item x="89"/>
        <item x="20"/>
        <item x="24"/>
        <item x="66"/>
        <item x="6"/>
        <item x="84"/>
        <item x="3"/>
        <item x="88"/>
        <item x="55"/>
        <item x="32"/>
        <item x="46"/>
        <item x="34"/>
        <item x="63"/>
        <item x="71"/>
        <item x="26"/>
        <item x="40"/>
        <item x="79"/>
        <item x="27"/>
        <item x="64"/>
        <item x="52"/>
        <item x="85"/>
        <item x="76"/>
        <item x="83"/>
        <item x="12"/>
        <item x="28"/>
        <item x="70"/>
        <item x="65"/>
        <item x="51"/>
        <item x="14"/>
        <item x="77"/>
        <item x="69"/>
        <item x="53"/>
        <item x="78"/>
        <item x="59"/>
        <item x="42"/>
        <item x="30"/>
        <item x="72"/>
        <item x="17"/>
        <item x="36"/>
        <item x="61"/>
        <item x="22"/>
        <item x="48"/>
        <item x="21"/>
        <item x="50"/>
        <item x="35"/>
        <item x="60"/>
        <item x="10"/>
        <item x="90"/>
        <item x="0"/>
        <item x="38"/>
        <item x="4"/>
        <item x="73"/>
        <item x="87"/>
        <item x="81"/>
        <item x="7"/>
        <item x="57"/>
        <item t="default"/>
      </items>
    </pivotField>
    <pivotField showAll="0"/>
    <pivotField showAll="0"/>
    <pivotField axis="axisRow" showAll="0" measureFilter="1">
      <items count="7">
        <item x="4"/>
        <item x="1"/>
        <item x="3"/>
        <item x="2"/>
        <item x="0"/>
        <item x="5"/>
        <item t="default"/>
      </items>
    </pivotField>
    <pivotField showAll="0"/>
    <pivotField numFmtId="1" showAll="0"/>
    <pivotField dataField="1" numFmtId="164" showAll="0"/>
    <pivotField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Total Sales" fld="7" baseField="0" baseItem="0" numFmtId="164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A6A05-7316-4867-A742-21F5AC4CBF8D}" name="PivotTable27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Q1:R5" firstHeaderRow="1" firstDataRow="1" firstDataCol="1"/>
  <pivotFields count="18">
    <pivotField showAll="0"/>
    <pivotField numFmtId="14" showAll="0">
      <items count="48">
        <item x="37"/>
        <item x="26"/>
        <item x="10"/>
        <item x="22"/>
        <item x="34"/>
        <item x="42"/>
        <item x="21"/>
        <item x="32"/>
        <item x="6"/>
        <item x="33"/>
        <item x="25"/>
        <item x="12"/>
        <item x="29"/>
        <item x="9"/>
        <item x="28"/>
        <item x="7"/>
        <item x="11"/>
        <item x="30"/>
        <item x="0"/>
        <item x="20"/>
        <item x="31"/>
        <item x="13"/>
        <item x="41"/>
        <item x="3"/>
        <item x="1"/>
        <item x="23"/>
        <item x="43"/>
        <item x="27"/>
        <item x="14"/>
        <item x="5"/>
        <item x="38"/>
        <item x="2"/>
        <item x="4"/>
        <item x="36"/>
        <item x="18"/>
        <item x="45"/>
        <item x="15"/>
        <item x="44"/>
        <item x="24"/>
        <item x="17"/>
        <item x="40"/>
        <item x="8"/>
        <item x="16"/>
        <item x="35"/>
        <item x="39"/>
        <item x="19"/>
        <item x="46"/>
        <item t="default"/>
      </items>
    </pivotField>
    <pivotField numFmtId="1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317E0-736C-44B6-9391-D7BC9E02ADBF}" name="Table1" displayName="Table1" ref="A1:J97" totalsRowShown="0" headerRowDxfId="14" dataDxfId="12" headerRowBorderDxfId="13" tableBorderDxfId="11" totalsRowBorderDxfId="10">
  <autoFilter ref="A1:J97" xr:uid="{371317E0-736C-44B6-9391-D7BC9E02ADBF}"/>
  <tableColumns count="10">
    <tableColumn id="1" xr3:uid="{596EA2C5-D149-4C9A-9554-7E8406961197}" name="TransactionID" dataDxfId="9"/>
    <tableColumn id="2" xr3:uid="{54BBEB6E-AAD2-4037-BC1F-4925B36192B8}" name="Order Date" dataDxfId="8"/>
    <tableColumn id="3" xr3:uid="{F1101158-5326-4877-941E-A23B18768C4B}" name="Product" dataDxfId="7"/>
    <tableColumn id="4" xr3:uid="{3C4096CC-3B83-4649-855C-8CA6257A7BCB}" name="Region" dataDxfId="6"/>
    <tableColumn id="5" xr3:uid="{E41C86F6-16D8-4FB0-9C57-EEBFD298E65B}" name="SalesRep" dataDxfId="5"/>
    <tableColumn id="6" xr3:uid="{5F70EB19-8036-4FED-AEF1-2D3AF6689AAB}" name="Customer" dataDxfId="4"/>
    <tableColumn id="7" xr3:uid="{DB37CAC6-5FB6-463A-8B10-B33387032642}" name="Order Quantity" dataDxfId="3"/>
    <tableColumn id="8" xr3:uid="{A744E8A4-52C9-44E6-A18A-148B17110CC0}" name="Sales" dataDxfId="2"/>
    <tableColumn id="9" xr3:uid="{66649B2F-671B-45E9-9E6E-08ED0A67B1FD}" name="COGS" dataDxfId="1"/>
    <tableColumn id="10" xr3:uid="{242875C5-646C-4D03-B25B-F5B35A359BB2}" name="Year" dataDxfId="0">
      <calculatedColumnFormula>YEAR(Table1[[#This Row],[Order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70DD-474D-4653-BBD1-16EA108D11EB}">
  <dimension ref="A3:B8"/>
  <sheetViews>
    <sheetView workbookViewId="0">
      <selection activeCell="L14" sqref="L14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1" t="s">
        <v>362</v>
      </c>
      <c r="B3" t="s">
        <v>361</v>
      </c>
    </row>
    <row r="4" spans="1:2" x14ac:dyDescent="0.25">
      <c r="A4" s="22" t="s">
        <v>15</v>
      </c>
      <c r="B4" s="17">
        <v>11187.200000000003</v>
      </c>
    </row>
    <row r="5" spans="1:2" x14ac:dyDescent="0.25">
      <c r="A5" s="22" t="s">
        <v>39</v>
      </c>
      <c r="B5" s="17">
        <v>15100.080000000002</v>
      </c>
    </row>
    <row r="6" spans="1:2" x14ac:dyDescent="0.25">
      <c r="A6" s="22" t="s">
        <v>99</v>
      </c>
      <c r="B6" s="17">
        <v>42537.09</v>
      </c>
    </row>
    <row r="7" spans="1:2" x14ac:dyDescent="0.25">
      <c r="A7" s="22" t="s">
        <v>76</v>
      </c>
      <c r="B7" s="17">
        <v>13740.409999999998</v>
      </c>
    </row>
    <row r="8" spans="1:2" x14ac:dyDescent="0.25">
      <c r="A8" s="22" t="s">
        <v>363</v>
      </c>
      <c r="B8" s="17">
        <v>82564.78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49C5-9274-4D45-8647-C65C63B21BFB}">
  <dimension ref="A3:B8"/>
  <sheetViews>
    <sheetView workbookViewId="0">
      <selection activeCell="F20" sqref="F20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1" t="s">
        <v>362</v>
      </c>
      <c r="B3" t="s">
        <v>361</v>
      </c>
    </row>
    <row r="4" spans="1:2" x14ac:dyDescent="0.25">
      <c r="A4" s="22" t="s">
        <v>365</v>
      </c>
      <c r="B4" s="17">
        <v>22505.139999999996</v>
      </c>
    </row>
    <row r="5" spans="1:2" x14ac:dyDescent="0.25">
      <c r="A5" s="22" t="s">
        <v>366</v>
      </c>
      <c r="B5" s="17">
        <v>13240.1</v>
      </c>
    </row>
    <row r="6" spans="1:2" x14ac:dyDescent="0.25">
      <c r="A6" s="22" t="s">
        <v>367</v>
      </c>
      <c r="B6" s="17">
        <v>20129.649999999994</v>
      </c>
    </row>
    <row r="7" spans="1:2" x14ac:dyDescent="0.25">
      <c r="A7" s="22" t="s">
        <v>368</v>
      </c>
      <c r="B7" s="17">
        <v>26689.890000000014</v>
      </c>
    </row>
    <row r="8" spans="1:2" x14ac:dyDescent="0.25">
      <c r="A8" s="22" t="s">
        <v>363</v>
      </c>
      <c r="B8" s="17">
        <v>82564.78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038D7-263C-488D-ACA4-D9DCB86BF6FB}">
  <dimension ref="A3:B8"/>
  <sheetViews>
    <sheetView workbookViewId="0">
      <selection activeCell="C15" sqref="C15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1" t="s">
        <v>362</v>
      </c>
      <c r="B3" t="s">
        <v>361</v>
      </c>
    </row>
    <row r="4" spans="1:2" x14ac:dyDescent="0.25">
      <c r="A4" s="22" t="s">
        <v>365</v>
      </c>
      <c r="B4" s="17">
        <v>22505.139999999996</v>
      </c>
    </row>
    <row r="5" spans="1:2" x14ac:dyDescent="0.25">
      <c r="A5" s="22" t="s">
        <v>366</v>
      </c>
      <c r="B5" s="17">
        <v>13240.1</v>
      </c>
    </row>
    <row r="6" spans="1:2" x14ac:dyDescent="0.25">
      <c r="A6" s="22" t="s">
        <v>367</v>
      </c>
      <c r="B6" s="17">
        <v>20129.649999999994</v>
      </c>
    </row>
    <row r="7" spans="1:2" x14ac:dyDescent="0.25">
      <c r="A7" s="22" t="s">
        <v>368</v>
      </c>
      <c r="B7" s="17">
        <v>26689.890000000014</v>
      </c>
    </row>
    <row r="8" spans="1:2" x14ac:dyDescent="0.25">
      <c r="A8" s="22" t="s">
        <v>363</v>
      </c>
      <c r="B8" s="17">
        <v>82564.78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361A0-CAB0-42BF-AAB3-31A569C16B52}">
  <dimension ref="A3:H19"/>
  <sheetViews>
    <sheetView workbookViewId="0">
      <selection activeCell="H19" sqref="H19"/>
    </sheetView>
  </sheetViews>
  <sheetFormatPr defaultRowHeight="15" x14ac:dyDescent="0.25"/>
  <cols>
    <col min="1" max="1" width="21.42578125" bestFit="1" customWidth="1"/>
    <col min="2" max="2" width="16.28515625" bestFit="1" customWidth="1"/>
    <col min="3" max="5" width="6.85546875" bestFit="1" customWidth="1"/>
    <col min="6" max="6" width="11.28515625" bestFit="1" customWidth="1"/>
    <col min="7" max="91" width="16.28515625" bestFit="1" customWidth="1"/>
    <col min="92" max="92" width="11.28515625" bestFit="1" customWidth="1"/>
  </cols>
  <sheetData>
    <row r="3" spans="1:6" x14ac:dyDescent="0.25">
      <c r="A3" s="21" t="s">
        <v>369</v>
      </c>
      <c r="B3" s="21" t="s">
        <v>364</v>
      </c>
    </row>
    <row r="4" spans="1:6" x14ac:dyDescent="0.25">
      <c r="B4" t="s">
        <v>365</v>
      </c>
      <c r="C4" t="s">
        <v>366</v>
      </c>
      <c r="D4" t="s">
        <v>367</v>
      </c>
      <c r="E4" t="s">
        <v>368</v>
      </c>
      <c r="F4" t="s">
        <v>363</v>
      </c>
    </row>
    <row r="5" spans="1:6" x14ac:dyDescent="0.25">
      <c r="A5" s="21" t="s">
        <v>362</v>
      </c>
    </row>
    <row r="6" spans="1:6" x14ac:dyDescent="0.25">
      <c r="A6" s="22" t="s">
        <v>15</v>
      </c>
      <c r="B6">
        <v>3</v>
      </c>
      <c r="C6">
        <v>1</v>
      </c>
      <c r="D6">
        <v>2</v>
      </c>
      <c r="E6">
        <v>3</v>
      </c>
      <c r="F6">
        <v>9</v>
      </c>
    </row>
    <row r="7" spans="1:6" x14ac:dyDescent="0.25">
      <c r="A7" s="22" t="s">
        <v>39</v>
      </c>
      <c r="B7">
        <v>4</v>
      </c>
      <c r="C7">
        <v>7</v>
      </c>
      <c r="D7">
        <v>4</v>
      </c>
      <c r="E7">
        <v>5</v>
      </c>
      <c r="F7">
        <v>20</v>
      </c>
    </row>
    <row r="8" spans="1:6" x14ac:dyDescent="0.25">
      <c r="A8" s="22" t="s">
        <v>99</v>
      </c>
      <c r="B8">
        <v>11</v>
      </c>
      <c r="C8">
        <v>6</v>
      </c>
      <c r="D8">
        <v>16</v>
      </c>
      <c r="E8">
        <v>16</v>
      </c>
      <c r="F8">
        <v>49</v>
      </c>
    </row>
    <row r="9" spans="1:6" x14ac:dyDescent="0.25">
      <c r="A9" s="22" t="s">
        <v>76</v>
      </c>
      <c r="B9">
        <v>5</v>
      </c>
      <c r="C9">
        <v>5</v>
      </c>
      <c r="D9">
        <v>3</v>
      </c>
      <c r="E9">
        <v>5</v>
      </c>
      <c r="F9">
        <v>18</v>
      </c>
    </row>
    <row r="10" spans="1:6" x14ac:dyDescent="0.25">
      <c r="A10" s="22" t="s">
        <v>363</v>
      </c>
      <c r="B10">
        <v>23</v>
      </c>
      <c r="C10">
        <v>19</v>
      </c>
      <c r="D10">
        <v>25</v>
      </c>
      <c r="E10">
        <v>29</v>
      </c>
      <c r="F10">
        <v>96</v>
      </c>
    </row>
    <row r="19" spans="8:8" x14ac:dyDescent="0.25">
      <c r="H19" t="s">
        <v>370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4EF6C-3CB7-4E9D-B10C-6876D6DA0455}">
  <dimension ref="A3:B10"/>
  <sheetViews>
    <sheetView workbookViewId="0">
      <selection activeCell="B7" sqref="B7"/>
    </sheetView>
  </sheetViews>
  <sheetFormatPr defaultRowHeight="15" x14ac:dyDescent="0.25"/>
  <cols>
    <col min="1" max="1" width="13.140625" bestFit="1" customWidth="1"/>
    <col min="2" max="2" width="15.7109375" bestFit="1" customWidth="1"/>
  </cols>
  <sheetData>
    <row r="3" spans="1:2" x14ac:dyDescent="0.25">
      <c r="A3" s="21" t="s">
        <v>362</v>
      </c>
      <c r="B3" t="s">
        <v>372</v>
      </c>
    </row>
    <row r="4" spans="1:2" x14ac:dyDescent="0.25">
      <c r="A4" s="22" t="s">
        <v>42</v>
      </c>
      <c r="B4" s="17">
        <v>797.57588235294111</v>
      </c>
    </row>
    <row r="5" spans="1:2" x14ac:dyDescent="0.25">
      <c r="A5" s="22" t="s">
        <v>20</v>
      </c>
      <c r="B5" s="17">
        <v>641.53714285714273</v>
      </c>
    </row>
    <row r="6" spans="1:2" x14ac:dyDescent="0.25">
      <c r="A6" s="22" t="s">
        <v>31</v>
      </c>
      <c r="B6" s="17">
        <v>1097.6007142857143</v>
      </c>
    </row>
    <row r="7" spans="1:2" x14ac:dyDescent="0.25">
      <c r="A7" s="22" t="s">
        <v>24</v>
      </c>
      <c r="B7" s="17">
        <v>1105.0472222222222</v>
      </c>
    </row>
    <row r="8" spans="1:2" x14ac:dyDescent="0.25">
      <c r="A8" s="22" t="s">
        <v>16</v>
      </c>
      <c r="B8" s="17">
        <v>757.25200000000007</v>
      </c>
    </row>
    <row r="9" spans="1:2" x14ac:dyDescent="0.25">
      <c r="A9" s="22" t="s">
        <v>50</v>
      </c>
      <c r="B9" s="17">
        <v>744.91277777777759</v>
      </c>
    </row>
    <row r="10" spans="1:2" x14ac:dyDescent="0.25">
      <c r="A10" s="22" t="s">
        <v>363</v>
      </c>
      <c r="B10" s="17">
        <v>860.04979166666624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7649-1092-401C-9E72-20B7A547B731}">
  <dimension ref="A3:F10"/>
  <sheetViews>
    <sheetView workbookViewId="0">
      <selection activeCell="F17" sqref="F17"/>
    </sheetView>
  </sheetViews>
  <sheetFormatPr defaultRowHeight="15" x14ac:dyDescent="0.25"/>
  <cols>
    <col min="1" max="1" width="15.42578125" bestFit="1" customWidth="1"/>
    <col min="2" max="2" width="16.28515625" bestFit="1" customWidth="1"/>
    <col min="3" max="3" width="7.85546875" bestFit="1" customWidth="1"/>
    <col min="4" max="5" width="8.140625" bestFit="1" customWidth="1"/>
    <col min="6" max="6" width="11.28515625" bestFit="1" customWidth="1"/>
    <col min="7" max="91" width="16.28515625" bestFit="1" customWidth="1"/>
    <col min="92" max="92" width="11.28515625" bestFit="1" customWidth="1"/>
  </cols>
  <sheetData>
    <row r="3" spans="1:6" x14ac:dyDescent="0.25">
      <c r="A3" s="21" t="s">
        <v>361</v>
      </c>
      <c r="B3" s="21" t="s">
        <v>364</v>
      </c>
    </row>
    <row r="4" spans="1:6" x14ac:dyDescent="0.25">
      <c r="B4" t="s">
        <v>365</v>
      </c>
      <c r="C4" t="s">
        <v>366</v>
      </c>
      <c r="D4" t="s">
        <v>367</v>
      </c>
      <c r="E4" t="s">
        <v>368</v>
      </c>
      <c r="F4" t="s">
        <v>363</v>
      </c>
    </row>
    <row r="5" spans="1:6" x14ac:dyDescent="0.25">
      <c r="A5" s="21" t="s">
        <v>362</v>
      </c>
    </row>
    <row r="6" spans="1:6" x14ac:dyDescent="0.25">
      <c r="A6" s="22" t="s">
        <v>19</v>
      </c>
      <c r="B6" s="24"/>
      <c r="C6" s="24">
        <v>-0.42490517739241723</v>
      </c>
      <c r="D6" s="24">
        <v>-0.38291454740540909</v>
      </c>
      <c r="E6" s="24">
        <v>1.4404944816504612</v>
      </c>
      <c r="F6" s="24"/>
    </row>
    <row r="7" spans="1:6" x14ac:dyDescent="0.25">
      <c r="A7" s="22" t="s">
        <v>45</v>
      </c>
      <c r="B7" s="24"/>
      <c r="C7" s="24">
        <v>0.33228145683388166</v>
      </c>
      <c r="D7" s="24">
        <v>0.2486714852896264</v>
      </c>
      <c r="E7" s="24">
        <v>0.15566987615871908</v>
      </c>
      <c r="F7" s="24"/>
    </row>
    <row r="8" spans="1:6" x14ac:dyDescent="0.25">
      <c r="A8" s="22" t="s">
        <v>23</v>
      </c>
      <c r="B8" s="24"/>
      <c r="C8" s="24">
        <v>-0.26733962303054226</v>
      </c>
      <c r="D8" s="24">
        <v>1.3456797568506371</v>
      </c>
      <c r="E8" s="24">
        <v>-0.18818760658491254</v>
      </c>
      <c r="F8" s="24"/>
    </row>
    <row r="9" spans="1:6" x14ac:dyDescent="0.25">
      <c r="A9" s="22" t="s">
        <v>14</v>
      </c>
      <c r="B9" s="24"/>
      <c r="C9" s="24">
        <v>-0.68728218215746006</v>
      </c>
      <c r="D9" s="24">
        <v>2.1612443235416721</v>
      </c>
      <c r="E9" s="24">
        <v>0.30155518081319072</v>
      </c>
      <c r="F9" s="24"/>
    </row>
    <row r="10" spans="1:6" x14ac:dyDescent="0.25">
      <c r="A10" s="22" t="s">
        <v>363</v>
      </c>
      <c r="B10" s="24"/>
      <c r="C10" s="24">
        <v>-0.41168550828832878</v>
      </c>
      <c r="D10" s="24">
        <v>0.52035483115686443</v>
      </c>
      <c r="E10" s="24">
        <v>0.32589935741555354</v>
      </c>
      <c r="F10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E6E3-C901-4DB1-9BB0-C3C678DB3C16}">
  <dimension ref="A1:B8"/>
  <sheetViews>
    <sheetView tabSelected="1" workbookViewId="0">
      <selection activeCell="L13" sqref="L13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1" spans="1:2" x14ac:dyDescent="0.25">
      <c r="A1" t="s">
        <v>373</v>
      </c>
    </row>
    <row r="3" spans="1:2" x14ac:dyDescent="0.25">
      <c r="A3" s="21" t="s">
        <v>374</v>
      </c>
      <c r="B3" t="s">
        <v>361</v>
      </c>
    </row>
    <row r="4" spans="1:2" x14ac:dyDescent="0.25">
      <c r="A4" s="22" t="s">
        <v>15</v>
      </c>
      <c r="B4" s="24">
        <v>0.13549603111641553</v>
      </c>
    </row>
    <row r="5" spans="1:2" x14ac:dyDescent="0.25">
      <c r="A5" s="22" t="s">
        <v>39</v>
      </c>
      <c r="B5" s="24">
        <v>0.18288766711423446</v>
      </c>
    </row>
    <row r="6" spans="1:2" x14ac:dyDescent="0.25">
      <c r="A6" s="22" t="s">
        <v>99</v>
      </c>
      <c r="B6" s="24">
        <v>0.51519655233139361</v>
      </c>
    </row>
    <row r="7" spans="1:2" x14ac:dyDescent="0.25">
      <c r="A7" s="22" t="s">
        <v>76</v>
      </c>
      <c r="B7" s="24">
        <v>0.16641974943795645</v>
      </c>
    </row>
    <row r="8" spans="1:2" x14ac:dyDescent="0.25">
      <c r="A8" s="22" t="s">
        <v>363</v>
      </c>
      <c r="B8" s="24">
        <v>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C66B-F218-44CA-8512-1F4652DBA600}">
  <dimension ref="A3:B8"/>
  <sheetViews>
    <sheetView workbookViewId="0">
      <selection activeCell="D16" sqref="D16"/>
    </sheetView>
  </sheetViews>
  <sheetFormatPr defaultRowHeight="15" x14ac:dyDescent="0.25"/>
  <cols>
    <col min="1" max="1" width="15.42578125" bestFit="1" customWidth="1"/>
    <col min="2" max="2" width="21.42578125" bestFit="1" customWidth="1"/>
    <col min="3" max="4" width="16.28515625" bestFit="1" customWidth="1"/>
    <col min="5" max="5" width="11.28515625" bestFit="1" customWidth="1"/>
  </cols>
  <sheetData>
    <row r="3" spans="1:2" x14ac:dyDescent="0.25">
      <c r="A3" s="21" t="s">
        <v>362</v>
      </c>
      <c r="B3" t="s">
        <v>369</v>
      </c>
    </row>
    <row r="4" spans="1:2" x14ac:dyDescent="0.25">
      <c r="A4" s="22" t="s">
        <v>19</v>
      </c>
      <c r="B4">
        <v>29</v>
      </c>
    </row>
    <row r="5" spans="1:2" x14ac:dyDescent="0.25">
      <c r="A5" s="22" t="s">
        <v>45</v>
      </c>
      <c r="B5">
        <v>16</v>
      </c>
    </row>
    <row r="6" spans="1:2" x14ac:dyDescent="0.25">
      <c r="A6" s="22" t="s">
        <v>23</v>
      </c>
      <c r="B6">
        <v>26</v>
      </c>
    </row>
    <row r="7" spans="1:2" x14ac:dyDescent="0.25">
      <c r="A7" s="22" t="s">
        <v>14</v>
      </c>
      <c r="B7">
        <v>25</v>
      </c>
    </row>
    <row r="8" spans="1:2" x14ac:dyDescent="0.25">
      <c r="A8" s="22" t="s">
        <v>363</v>
      </c>
      <c r="B8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9477F-B941-4A90-A1C3-1E69560830DF}">
  <dimension ref="A3:B7"/>
  <sheetViews>
    <sheetView workbookViewId="0">
      <selection activeCell="B4" sqref="B4"/>
    </sheetView>
  </sheetViews>
  <sheetFormatPr defaultRowHeight="15" x14ac:dyDescent="0.25"/>
  <cols>
    <col min="1" max="1" width="23" bestFit="1" customWidth="1"/>
    <col min="2" max="2" width="12.140625" bestFit="1" customWidth="1"/>
  </cols>
  <sheetData>
    <row r="3" spans="1:2" x14ac:dyDescent="0.25">
      <c r="A3" s="21" t="s">
        <v>375</v>
      </c>
      <c r="B3" t="s">
        <v>376</v>
      </c>
    </row>
    <row r="4" spans="1:2" x14ac:dyDescent="0.25">
      <c r="A4" s="22" t="s">
        <v>42</v>
      </c>
      <c r="B4" s="17">
        <v>13558.789999999999</v>
      </c>
    </row>
    <row r="5" spans="1:2" x14ac:dyDescent="0.25">
      <c r="A5" s="22" t="s">
        <v>31</v>
      </c>
      <c r="B5" s="17">
        <v>15366.41</v>
      </c>
    </row>
    <row r="6" spans="1:2" x14ac:dyDescent="0.25">
      <c r="A6" s="22" t="s">
        <v>24</v>
      </c>
      <c r="B6" s="17">
        <v>19890.849999999999</v>
      </c>
    </row>
    <row r="7" spans="1:2" x14ac:dyDescent="0.25">
      <c r="A7" s="22" t="s">
        <v>363</v>
      </c>
      <c r="B7" s="17">
        <v>48816.049999999996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C9D3-2F36-4DC9-A483-AC82064D18DB}">
  <dimension ref="A1:J106"/>
  <sheetViews>
    <sheetView topLeftCell="A2" workbookViewId="0">
      <selection activeCell="D12" sqref="D12"/>
    </sheetView>
  </sheetViews>
  <sheetFormatPr defaultRowHeight="15" x14ac:dyDescent="0.25"/>
  <cols>
    <col min="1" max="1" width="15.140625" customWidth="1"/>
    <col min="2" max="2" width="12.85546875" style="11" customWidth="1"/>
    <col min="3" max="3" width="15.42578125" bestFit="1" customWidth="1"/>
    <col min="4" max="4" width="9.42578125" bestFit="1" customWidth="1"/>
    <col min="5" max="5" width="11.140625" customWidth="1"/>
    <col min="6" max="6" width="11.85546875" bestFit="1" customWidth="1"/>
    <col min="7" max="7" width="16.7109375" style="14" bestFit="1" customWidth="1"/>
    <col min="8" max="8" width="10.5703125" style="17" bestFit="1" customWidth="1"/>
    <col min="9" max="9" width="9.7109375" style="17" bestFit="1" customWidth="1"/>
    <col min="12" max="13" width="12.5703125" bestFit="1" customWidth="1"/>
    <col min="14" max="14" width="11.7109375" bestFit="1" customWidth="1"/>
    <col min="15" max="15" width="9" bestFit="1" customWidth="1"/>
    <col min="16" max="16" width="15" bestFit="1" customWidth="1"/>
    <col min="17" max="18" width="10.7109375" bestFit="1" customWidth="1"/>
  </cols>
  <sheetData>
    <row r="1" spans="1:10" x14ac:dyDescent="0.25">
      <c r="A1" s="8" t="s">
        <v>4</v>
      </c>
      <c r="B1" s="10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12" t="s">
        <v>10</v>
      </c>
      <c r="H1" s="15" t="s">
        <v>11</v>
      </c>
      <c r="I1" s="18" t="s">
        <v>12</v>
      </c>
      <c r="J1" s="9" t="s">
        <v>371</v>
      </c>
    </row>
    <row r="2" spans="1:10" x14ac:dyDescent="0.25">
      <c r="A2" s="20" t="s">
        <v>13</v>
      </c>
      <c r="B2" s="2">
        <v>41548</v>
      </c>
      <c r="C2" s="3" t="s">
        <v>14</v>
      </c>
      <c r="D2" s="4" t="s">
        <v>15</v>
      </c>
      <c r="E2" s="4" t="s">
        <v>16</v>
      </c>
      <c r="F2" s="4" t="s">
        <v>17</v>
      </c>
      <c r="G2" s="13">
        <v>16</v>
      </c>
      <c r="H2" s="16">
        <v>2500</v>
      </c>
      <c r="I2" s="19">
        <v>232.99</v>
      </c>
      <c r="J2" s="23">
        <f>YEAR(Table1[[#This Row],[Order Date]])</f>
        <v>2013</v>
      </c>
    </row>
    <row r="3" spans="1:10" x14ac:dyDescent="0.25">
      <c r="A3" s="20" t="s">
        <v>18</v>
      </c>
      <c r="B3" s="2">
        <v>40469</v>
      </c>
      <c r="C3" s="3" t="s">
        <v>19</v>
      </c>
      <c r="D3" s="4" t="s">
        <v>15</v>
      </c>
      <c r="E3" s="4" t="s">
        <v>20</v>
      </c>
      <c r="F3" s="4" t="s">
        <v>21</v>
      </c>
      <c r="G3" s="13">
        <v>24</v>
      </c>
      <c r="H3" s="16">
        <v>528.5</v>
      </c>
      <c r="I3" s="19">
        <v>240.35</v>
      </c>
      <c r="J3" s="23">
        <f>YEAR(Table1[[#This Row],[Order Date]])</f>
        <v>2010</v>
      </c>
    </row>
    <row r="4" spans="1:10" x14ac:dyDescent="0.25">
      <c r="A4" s="20" t="s">
        <v>22</v>
      </c>
      <c r="B4" s="2">
        <v>40364</v>
      </c>
      <c r="C4" s="3" t="s">
        <v>23</v>
      </c>
      <c r="D4" s="4" t="s">
        <v>15</v>
      </c>
      <c r="E4" s="4" t="s">
        <v>24</v>
      </c>
      <c r="F4" s="4" t="s">
        <v>25</v>
      </c>
      <c r="G4" s="13">
        <v>30</v>
      </c>
      <c r="H4" s="16">
        <v>810.71</v>
      </c>
      <c r="I4" s="19">
        <v>435.64</v>
      </c>
      <c r="J4" s="23">
        <f>YEAR(Table1[[#This Row],[Order Date]])</f>
        <v>2010</v>
      </c>
    </row>
    <row r="5" spans="1:10" x14ac:dyDescent="0.25">
      <c r="A5" s="20" t="s">
        <v>26</v>
      </c>
      <c r="B5" s="2">
        <v>40944</v>
      </c>
      <c r="C5" s="3" t="s">
        <v>23</v>
      </c>
      <c r="D5" s="4" t="s">
        <v>15</v>
      </c>
      <c r="E5" s="4" t="s">
        <v>24</v>
      </c>
      <c r="F5" s="4" t="s">
        <v>27</v>
      </c>
      <c r="G5" s="13">
        <v>19</v>
      </c>
      <c r="H5" s="16">
        <v>418.54</v>
      </c>
      <c r="I5" s="19">
        <v>190.05</v>
      </c>
      <c r="J5" s="23">
        <f>YEAR(Table1[[#This Row],[Order Date]])</f>
        <v>2012</v>
      </c>
    </row>
    <row r="6" spans="1:10" x14ac:dyDescent="0.25">
      <c r="A6" s="20" t="s">
        <v>28</v>
      </c>
      <c r="B6" s="2">
        <v>41577</v>
      </c>
      <c r="C6" s="3" t="s">
        <v>23</v>
      </c>
      <c r="D6" s="4" t="s">
        <v>15</v>
      </c>
      <c r="E6" s="4" t="s">
        <v>24</v>
      </c>
      <c r="F6" s="4" t="s">
        <v>29</v>
      </c>
      <c r="G6" s="13">
        <v>38</v>
      </c>
      <c r="H6" s="16">
        <v>722.22</v>
      </c>
      <c r="I6" s="19">
        <v>304.06</v>
      </c>
      <c r="J6" s="23">
        <f>YEAR(Table1[[#This Row],[Order Date]])</f>
        <v>2013</v>
      </c>
    </row>
    <row r="7" spans="1:10" x14ac:dyDescent="0.25">
      <c r="A7" s="20" t="s">
        <v>30</v>
      </c>
      <c r="B7" s="2">
        <v>40417</v>
      </c>
      <c r="C7" s="3" t="s">
        <v>19</v>
      </c>
      <c r="D7" s="4" t="s">
        <v>15</v>
      </c>
      <c r="E7" s="4" t="s">
        <v>31</v>
      </c>
      <c r="F7" s="4" t="s">
        <v>29</v>
      </c>
      <c r="G7" s="13">
        <v>20</v>
      </c>
      <c r="H7" s="16">
        <v>5000</v>
      </c>
      <c r="I7" s="19">
        <v>220.63</v>
      </c>
      <c r="J7" s="23">
        <f>YEAR(Table1[[#This Row],[Order Date]])</f>
        <v>2010</v>
      </c>
    </row>
    <row r="8" spans="1:10" x14ac:dyDescent="0.25">
      <c r="A8" s="20" t="s">
        <v>32</v>
      </c>
      <c r="B8" s="2">
        <v>40918</v>
      </c>
      <c r="C8" s="3" t="s">
        <v>19</v>
      </c>
      <c r="D8" s="4" t="s">
        <v>15</v>
      </c>
      <c r="E8" s="4" t="s">
        <v>24</v>
      </c>
      <c r="F8" s="4" t="s">
        <v>33</v>
      </c>
      <c r="G8" s="13">
        <v>23</v>
      </c>
      <c r="H8" s="16">
        <v>483.58</v>
      </c>
      <c r="I8" s="19">
        <v>213.57</v>
      </c>
      <c r="J8" s="23">
        <f>YEAR(Table1[[#This Row],[Order Date]])</f>
        <v>2012</v>
      </c>
    </row>
    <row r="9" spans="1:10" x14ac:dyDescent="0.25">
      <c r="A9" s="20" t="s">
        <v>34</v>
      </c>
      <c r="B9" s="2">
        <v>41619</v>
      </c>
      <c r="C9" s="3" t="s">
        <v>19</v>
      </c>
      <c r="D9" s="4" t="s">
        <v>15</v>
      </c>
      <c r="E9" s="4" t="s">
        <v>16</v>
      </c>
      <c r="F9" s="4" t="s">
        <v>35</v>
      </c>
      <c r="G9" s="13">
        <v>6</v>
      </c>
      <c r="H9" s="16">
        <v>114.53</v>
      </c>
      <c r="I9" s="19">
        <v>48.26</v>
      </c>
      <c r="J9" s="23">
        <f>YEAR(Table1[[#This Row],[Order Date]])</f>
        <v>2013</v>
      </c>
    </row>
    <row r="10" spans="1:10" x14ac:dyDescent="0.25">
      <c r="A10" s="20" t="s">
        <v>36</v>
      </c>
      <c r="B10" s="2">
        <v>40604</v>
      </c>
      <c r="C10" s="3" t="s">
        <v>19</v>
      </c>
      <c r="D10" s="4" t="s">
        <v>15</v>
      </c>
      <c r="E10" s="4" t="s">
        <v>16</v>
      </c>
      <c r="F10" s="4" t="s">
        <v>37</v>
      </c>
      <c r="G10" s="13">
        <v>29</v>
      </c>
      <c r="H10" s="16">
        <v>609.12</v>
      </c>
      <c r="I10" s="19">
        <v>269.16000000000003</v>
      </c>
      <c r="J10" s="23">
        <f>YEAR(Table1[[#This Row],[Order Date]])</f>
        <v>2011</v>
      </c>
    </row>
    <row r="11" spans="1:10" x14ac:dyDescent="0.25">
      <c r="A11" s="20" t="s">
        <v>38</v>
      </c>
      <c r="B11" s="2">
        <v>40255</v>
      </c>
      <c r="C11" s="3" t="s">
        <v>14</v>
      </c>
      <c r="D11" s="4" t="s">
        <v>39</v>
      </c>
      <c r="E11" s="4" t="s">
        <v>24</v>
      </c>
      <c r="F11" s="4" t="s">
        <v>40</v>
      </c>
      <c r="G11" s="13">
        <v>57</v>
      </c>
      <c r="H11" s="16">
        <v>1197.9000000000001</v>
      </c>
      <c r="I11" s="19">
        <v>527.98</v>
      </c>
      <c r="J11" s="23">
        <f>YEAR(Table1[[#This Row],[Order Date]])</f>
        <v>2010</v>
      </c>
    </row>
    <row r="12" spans="1:10" x14ac:dyDescent="0.25">
      <c r="A12" s="20" t="s">
        <v>41</v>
      </c>
      <c r="B12" s="2">
        <v>41524</v>
      </c>
      <c r="C12" s="3" t="s">
        <v>377</v>
      </c>
      <c r="D12" s="4" t="s">
        <v>39</v>
      </c>
      <c r="E12" s="4" t="s">
        <v>42</v>
      </c>
      <c r="F12" s="4" t="s">
        <v>43</v>
      </c>
      <c r="G12" s="13">
        <v>12</v>
      </c>
      <c r="H12" s="16">
        <v>228.89</v>
      </c>
      <c r="I12" s="19">
        <v>96.02</v>
      </c>
      <c r="J12" s="23">
        <f>YEAR(Table1[[#This Row],[Order Date]])</f>
        <v>2013</v>
      </c>
    </row>
    <row r="13" spans="1:10" x14ac:dyDescent="0.25">
      <c r="A13" s="20" t="s">
        <v>44</v>
      </c>
      <c r="B13" s="2">
        <v>40570</v>
      </c>
      <c r="C13" s="3" t="s">
        <v>45</v>
      </c>
      <c r="D13" s="4" t="s">
        <v>39</v>
      </c>
      <c r="E13" s="4" t="s">
        <v>42</v>
      </c>
      <c r="F13" s="4" t="s">
        <v>46</v>
      </c>
      <c r="G13" s="13">
        <v>60</v>
      </c>
      <c r="H13" s="16">
        <v>1380.07</v>
      </c>
      <c r="I13" s="19">
        <v>660.4</v>
      </c>
      <c r="J13" s="23">
        <f>YEAR(Table1[[#This Row],[Order Date]])</f>
        <v>2011</v>
      </c>
    </row>
    <row r="14" spans="1:10" x14ac:dyDescent="0.25">
      <c r="A14" s="20" t="s">
        <v>47</v>
      </c>
      <c r="B14" s="2">
        <v>41178</v>
      </c>
      <c r="C14" s="3" t="s">
        <v>45</v>
      </c>
      <c r="D14" s="4" t="s">
        <v>39</v>
      </c>
      <c r="E14" s="4" t="s">
        <v>42</v>
      </c>
      <c r="F14" s="4" t="s">
        <v>48</v>
      </c>
      <c r="G14" s="13">
        <v>54</v>
      </c>
      <c r="H14" s="16">
        <v>1026.96</v>
      </c>
      <c r="I14" s="19">
        <v>432.75</v>
      </c>
      <c r="J14" s="23">
        <f>YEAR(Table1[[#This Row],[Order Date]])</f>
        <v>2012</v>
      </c>
    </row>
    <row r="15" spans="1:10" x14ac:dyDescent="0.25">
      <c r="A15" s="20" t="s">
        <v>49</v>
      </c>
      <c r="B15" s="2">
        <v>40462</v>
      </c>
      <c r="C15" s="3" t="s">
        <v>45</v>
      </c>
      <c r="D15" s="4" t="s">
        <v>39</v>
      </c>
      <c r="E15" s="4" t="s">
        <v>50</v>
      </c>
      <c r="F15" s="4" t="s">
        <v>51</v>
      </c>
      <c r="G15" s="13">
        <v>40</v>
      </c>
      <c r="H15" s="16">
        <v>760.24</v>
      </c>
      <c r="I15" s="19">
        <v>320.2</v>
      </c>
      <c r="J15" s="23">
        <f>YEAR(Table1[[#This Row],[Order Date]])</f>
        <v>2010</v>
      </c>
    </row>
    <row r="16" spans="1:10" x14ac:dyDescent="0.25">
      <c r="A16" s="20" t="s">
        <v>52</v>
      </c>
      <c r="B16" s="2">
        <v>41292</v>
      </c>
      <c r="C16" s="3" t="s">
        <v>19</v>
      </c>
      <c r="D16" s="4" t="s">
        <v>39</v>
      </c>
      <c r="E16" s="4" t="s">
        <v>16</v>
      </c>
      <c r="F16" s="4" t="s">
        <v>53</v>
      </c>
      <c r="G16" s="13">
        <v>18</v>
      </c>
      <c r="H16" s="16">
        <v>414.11</v>
      </c>
      <c r="I16" s="19">
        <v>198.71</v>
      </c>
      <c r="J16" s="23">
        <f>YEAR(Table1[[#This Row],[Order Date]])</f>
        <v>2013</v>
      </c>
    </row>
    <row r="17" spans="1:10" x14ac:dyDescent="0.25">
      <c r="A17" s="20" t="s">
        <v>54</v>
      </c>
      <c r="B17" s="2">
        <v>40727</v>
      </c>
      <c r="C17" s="3" t="s">
        <v>23</v>
      </c>
      <c r="D17" s="4" t="s">
        <v>39</v>
      </c>
      <c r="E17" s="4" t="s">
        <v>42</v>
      </c>
      <c r="F17" s="4" t="s">
        <v>55</v>
      </c>
      <c r="G17" s="13">
        <v>12</v>
      </c>
      <c r="H17" s="16">
        <v>276.06</v>
      </c>
      <c r="I17" s="19">
        <v>132.56</v>
      </c>
      <c r="J17" s="23">
        <f>YEAR(Table1[[#This Row],[Order Date]])</f>
        <v>2011</v>
      </c>
    </row>
    <row r="18" spans="1:10" x14ac:dyDescent="0.25">
      <c r="A18" s="20" t="s">
        <v>56</v>
      </c>
      <c r="B18" s="2">
        <v>40397</v>
      </c>
      <c r="C18" s="3" t="s">
        <v>19</v>
      </c>
      <c r="D18" s="4" t="s">
        <v>39</v>
      </c>
      <c r="E18" s="4" t="s">
        <v>16</v>
      </c>
      <c r="F18" s="4" t="s">
        <v>35</v>
      </c>
      <c r="G18" s="13">
        <v>22</v>
      </c>
      <c r="H18" s="16">
        <v>462.22</v>
      </c>
      <c r="I18" s="19">
        <v>203.57</v>
      </c>
      <c r="J18" s="23">
        <f>YEAR(Table1[[#This Row],[Order Date]])</f>
        <v>2010</v>
      </c>
    </row>
    <row r="19" spans="1:10" x14ac:dyDescent="0.25">
      <c r="A19" s="20" t="s">
        <v>57</v>
      </c>
      <c r="B19" s="2">
        <v>41413</v>
      </c>
      <c r="C19" s="3" t="s">
        <v>23</v>
      </c>
      <c r="D19" s="4" t="s">
        <v>39</v>
      </c>
      <c r="E19" s="4" t="s">
        <v>24</v>
      </c>
      <c r="F19" s="4" t="s">
        <v>58</v>
      </c>
      <c r="G19" s="13">
        <v>61</v>
      </c>
      <c r="H19" s="16">
        <v>1281.0999999999999</v>
      </c>
      <c r="I19" s="19">
        <v>565.15</v>
      </c>
      <c r="J19" s="23">
        <f>YEAR(Table1[[#This Row],[Order Date]])</f>
        <v>2013</v>
      </c>
    </row>
    <row r="20" spans="1:10" x14ac:dyDescent="0.25">
      <c r="A20" s="20" t="s">
        <v>59</v>
      </c>
      <c r="B20" s="2">
        <v>40733</v>
      </c>
      <c r="C20" s="3" t="s">
        <v>19</v>
      </c>
      <c r="D20" s="4" t="s">
        <v>39</v>
      </c>
      <c r="E20" s="4" t="s">
        <v>24</v>
      </c>
      <c r="F20" s="4" t="s">
        <v>60</v>
      </c>
      <c r="G20" s="13">
        <v>53</v>
      </c>
      <c r="H20" s="16">
        <v>1113.7</v>
      </c>
      <c r="I20" s="19">
        <v>490.31</v>
      </c>
      <c r="J20" s="23">
        <f>YEAR(Table1[[#This Row],[Order Date]])</f>
        <v>2011</v>
      </c>
    </row>
    <row r="21" spans="1:10" x14ac:dyDescent="0.25">
      <c r="A21" s="20" t="s">
        <v>61</v>
      </c>
      <c r="B21" s="2">
        <v>40303</v>
      </c>
      <c r="C21" s="3" t="s">
        <v>19</v>
      </c>
      <c r="D21" s="4" t="s">
        <v>39</v>
      </c>
      <c r="E21" s="4" t="s">
        <v>50</v>
      </c>
      <c r="F21" s="4" t="s">
        <v>58</v>
      </c>
      <c r="G21" s="13">
        <v>27</v>
      </c>
      <c r="H21" s="16">
        <v>594.09</v>
      </c>
      <c r="I21" s="19">
        <v>270.42</v>
      </c>
      <c r="J21" s="23">
        <f>YEAR(Table1[[#This Row],[Order Date]])</f>
        <v>2010</v>
      </c>
    </row>
    <row r="22" spans="1:10" x14ac:dyDescent="0.25">
      <c r="A22" s="20" t="s">
        <v>62</v>
      </c>
      <c r="B22" s="2">
        <v>40865</v>
      </c>
      <c r="C22" s="3" t="s">
        <v>23</v>
      </c>
      <c r="D22" s="4" t="s">
        <v>39</v>
      </c>
      <c r="E22" s="4" t="s">
        <v>31</v>
      </c>
      <c r="F22" s="4" t="s">
        <v>63</v>
      </c>
      <c r="G22" s="13">
        <v>16</v>
      </c>
      <c r="H22" s="16">
        <v>432.67</v>
      </c>
      <c r="I22" s="19">
        <v>232.2</v>
      </c>
      <c r="J22" s="23">
        <f>YEAR(Table1[[#This Row],[Order Date]])</f>
        <v>2011</v>
      </c>
    </row>
    <row r="23" spans="1:10" x14ac:dyDescent="0.25">
      <c r="A23" s="20" t="s">
        <v>64</v>
      </c>
      <c r="B23" s="2">
        <v>41495</v>
      </c>
      <c r="C23" s="3" t="s">
        <v>45</v>
      </c>
      <c r="D23" s="4" t="s">
        <v>39</v>
      </c>
      <c r="E23" s="4" t="s">
        <v>42</v>
      </c>
      <c r="F23" s="4" t="s">
        <v>33</v>
      </c>
      <c r="G23" s="13">
        <v>38</v>
      </c>
      <c r="H23" s="16">
        <v>874.45</v>
      </c>
      <c r="I23" s="19">
        <v>418.69</v>
      </c>
      <c r="J23" s="23">
        <f>YEAR(Table1[[#This Row],[Order Date]])</f>
        <v>2013</v>
      </c>
    </row>
    <row r="24" spans="1:10" x14ac:dyDescent="0.25">
      <c r="A24" s="20" t="s">
        <v>65</v>
      </c>
      <c r="B24" s="2">
        <v>41475</v>
      </c>
      <c r="C24" s="3" t="s">
        <v>14</v>
      </c>
      <c r="D24" s="4" t="s">
        <v>39</v>
      </c>
      <c r="E24" s="4" t="s">
        <v>24</v>
      </c>
      <c r="F24" s="4" t="s">
        <v>66</v>
      </c>
      <c r="G24" s="13">
        <v>40</v>
      </c>
      <c r="H24" s="16">
        <v>880.38</v>
      </c>
      <c r="I24" s="19">
        <v>400.89</v>
      </c>
      <c r="J24" s="23">
        <f>YEAR(Table1[[#This Row],[Order Date]])</f>
        <v>2013</v>
      </c>
    </row>
    <row r="25" spans="1:10" x14ac:dyDescent="0.25">
      <c r="A25" s="20" t="s">
        <v>67</v>
      </c>
      <c r="B25" s="2">
        <v>40582</v>
      </c>
      <c r="C25" s="3" t="s">
        <v>23</v>
      </c>
      <c r="D25" s="4" t="s">
        <v>39</v>
      </c>
      <c r="E25" s="4" t="s">
        <v>50</v>
      </c>
      <c r="F25" s="4" t="s">
        <v>35</v>
      </c>
      <c r="G25" s="13">
        <v>42</v>
      </c>
      <c r="H25" s="16">
        <v>798.53</v>
      </c>
      <c r="I25" s="19">
        <v>336.16</v>
      </c>
      <c r="J25" s="23">
        <f>YEAR(Table1[[#This Row],[Order Date]])</f>
        <v>2011</v>
      </c>
    </row>
    <row r="26" spans="1:10" x14ac:dyDescent="0.25">
      <c r="A26" s="20" t="s">
        <v>68</v>
      </c>
      <c r="B26" s="2">
        <v>40903</v>
      </c>
      <c r="C26" s="3" t="s">
        <v>19</v>
      </c>
      <c r="D26" s="4" t="s">
        <v>39</v>
      </c>
      <c r="E26" s="4" t="s">
        <v>31</v>
      </c>
      <c r="F26" s="4" t="s">
        <v>33</v>
      </c>
      <c r="G26" s="13">
        <v>26</v>
      </c>
      <c r="H26" s="16">
        <v>572.41999999999996</v>
      </c>
      <c r="I26" s="19">
        <v>260.27</v>
      </c>
      <c r="J26" s="23">
        <f>YEAR(Table1[[#This Row],[Order Date]])</f>
        <v>2011</v>
      </c>
    </row>
    <row r="27" spans="1:10" x14ac:dyDescent="0.25">
      <c r="A27" s="20" t="s">
        <v>69</v>
      </c>
      <c r="B27" s="2">
        <v>40669</v>
      </c>
      <c r="C27" s="3" t="s">
        <v>19</v>
      </c>
      <c r="D27" s="4" t="s">
        <v>39</v>
      </c>
      <c r="E27" s="4" t="s">
        <v>16</v>
      </c>
      <c r="F27" s="4" t="s">
        <v>51</v>
      </c>
      <c r="G27" s="13">
        <v>15</v>
      </c>
      <c r="H27" s="16">
        <v>330.61</v>
      </c>
      <c r="I27" s="19">
        <v>150.43</v>
      </c>
      <c r="J27" s="23">
        <f>YEAR(Table1[[#This Row],[Order Date]])</f>
        <v>2011</v>
      </c>
    </row>
    <row r="28" spans="1:10" x14ac:dyDescent="0.25">
      <c r="A28" s="20" t="s">
        <v>70</v>
      </c>
      <c r="B28" s="2">
        <v>41044</v>
      </c>
      <c r="C28" s="3" t="s">
        <v>19</v>
      </c>
      <c r="D28" s="4" t="s">
        <v>39</v>
      </c>
      <c r="E28" s="4" t="s">
        <v>20</v>
      </c>
      <c r="F28" s="4" t="s">
        <v>71</v>
      </c>
      <c r="G28" s="13">
        <v>27</v>
      </c>
      <c r="H28" s="16">
        <v>567.17999999999995</v>
      </c>
      <c r="I28" s="19">
        <v>250.66</v>
      </c>
      <c r="J28" s="23">
        <f>YEAR(Table1[[#This Row],[Order Date]])</f>
        <v>2012</v>
      </c>
    </row>
    <row r="29" spans="1:10" x14ac:dyDescent="0.25">
      <c r="A29" s="20" t="s">
        <v>72</v>
      </c>
      <c r="B29" s="2">
        <v>41073</v>
      </c>
      <c r="C29" s="3" t="s">
        <v>14</v>
      </c>
      <c r="D29" s="4" t="s">
        <v>39</v>
      </c>
      <c r="E29" s="4" t="s">
        <v>24</v>
      </c>
      <c r="F29" s="4" t="s">
        <v>17</v>
      </c>
      <c r="G29" s="13">
        <v>63</v>
      </c>
      <c r="H29" s="16">
        <v>1449.21</v>
      </c>
      <c r="I29" s="19">
        <v>693.64</v>
      </c>
      <c r="J29" s="23">
        <f>YEAR(Table1[[#This Row],[Order Date]])</f>
        <v>2012</v>
      </c>
    </row>
    <row r="30" spans="1:10" x14ac:dyDescent="0.25">
      <c r="A30" s="20" t="s">
        <v>73</v>
      </c>
      <c r="B30" s="2">
        <v>41191</v>
      </c>
      <c r="C30" s="3" t="s">
        <v>23</v>
      </c>
      <c r="D30" s="4" t="s">
        <v>39</v>
      </c>
      <c r="E30" s="4" t="s">
        <v>50</v>
      </c>
      <c r="F30" s="4" t="s">
        <v>74</v>
      </c>
      <c r="G30" s="13">
        <v>17</v>
      </c>
      <c r="H30" s="16">
        <v>459.29</v>
      </c>
      <c r="I30" s="19">
        <v>246.75</v>
      </c>
      <c r="J30" s="23">
        <f>YEAR(Table1[[#This Row],[Order Date]])</f>
        <v>2012</v>
      </c>
    </row>
    <row r="31" spans="1:10" x14ac:dyDescent="0.25">
      <c r="A31" s="20" t="s">
        <v>75</v>
      </c>
      <c r="B31" s="2">
        <v>40532</v>
      </c>
      <c r="C31" s="3" t="s">
        <v>14</v>
      </c>
      <c r="D31" s="4" t="s">
        <v>76</v>
      </c>
      <c r="E31" s="4" t="s">
        <v>50</v>
      </c>
      <c r="F31" s="4" t="s">
        <v>77</v>
      </c>
      <c r="G31" s="13">
        <v>17</v>
      </c>
      <c r="H31" s="16">
        <v>357.55</v>
      </c>
      <c r="I31" s="19">
        <v>157.94999999999999</v>
      </c>
      <c r="J31" s="23">
        <f>YEAR(Table1[[#This Row],[Order Date]])</f>
        <v>2010</v>
      </c>
    </row>
    <row r="32" spans="1:10" x14ac:dyDescent="0.25">
      <c r="A32" s="20" t="s">
        <v>78</v>
      </c>
      <c r="B32" s="2">
        <v>41362</v>
      </c>
      <c r="C32" s="3" t="s">
        <v>14</v>
      </c>
      <c r="D32" s="4" t="s">
        <v>76</v>
      </c>
      <c r="E32" s="4" t="s">
        <v>20</v>
      </c>
      <c r="F32" s="4" t="s">
        <v>29</v>
      </c>
      <c r="G32" s="13">
        <v>7</v>
      </c>
      <c r="H32" s="16">
        <v>154.34</v>
      </c>
      <c r="I32" s="19">
        <v>70</v>
      </c>
      <c r="J32" s="23">
        <f>YEAR(Table1[[#This Row],[Order Date]])</f>
        <v>2013</v>
      </c>
    </row>
    <row r="33" spans="1:10" x14ac:dyDescent="0.25">
      <c r="A33" s="20" t="s">
        <v>79</v>
      </c>
      <c r="B33" s="2">
        <v>40195</v>
      </c>
      <c r="C33" s="3" t="s">
        <v>45</v>
      </c>
      <c r="D33" s="4" t="s">
        <v>76</v>
      </c>
      <c r="E33" s="4" t="s">
        <v>50</v>
      </c>
      <c r="F33" s="4" t="s">
        <v>40</v>
      </c>
      <c r="G33" s="13">
        <v>8</v>
      </c>
      <c r="H33" s="16">
        <v>152.76</v>
      </c>
      <c r="I33" s="19">
        <v>64.12</v>
      </c>
      <c r="J33" s="23">
        <f>YEAR(Table1[[#This Row],[Order Date]])</f>
        <v>2010</v>
      </c>
    </row>
    <row r="34" spans="1:10" x14ac:dyDescent="0.25">
      <c r="A34" s="20" t="s">
        <v>80</v>
      </c>
      <c r="B34" s="2">
        <v>40991</v>
      </c>
      <c r="C34" s="3" t="s">
        <v>19</v>
      </c>
      <c r="D34" s="4" t="s">
        <v>76</v>
      </c>
      <c r="E34" s="4" t="s">
        <v>31</v>
      </c>
      <c r="F34" s="4" t="s">
        <v>71</v>
      </c>
      <c r="G34" s="13">
        <v>30</v>
      </c>
      <c r="H34" s="16">
        <v>570.22</v>
      </c>
      <c r="I34" s="19">
        <v>240.67</v>
      </c>
      <c r="J34" s="23">
        <f>YEAR(Table1[[#This Row],[Order Date]])</f>
        <v>2012</v>
      </c>
    </row>
    <row r="35" spans="1:10" x14ac:dyDescent="0.25">
      <c r="A35" s="20" t="s">
        <v>81</v>
      </c>
      <c r="B35" s="2">
        <v>40558</v>
      </c>
      <c r="C35" s="3" t="s">
        <v>19</v>
      </c>
      <c r="D35" s="4" t="s">
        <v>76</v>
      </c>
      <c r="E35" s="4" t="s">
        <v>16</v>
      </c>
      <c r="F35" s="4" t="s">
        <v>77</v>
      </c>
      <c r="G35" s="13">
        <v>47</v>
      </c>
      <c r="H35" s="16">
        <v>987.62</v>
      </c>
      <c r="I35" s="19">
        <v>435.15</v>
      </c>
      <c r="J35" s="23">
        <f>YEAR(Table1[[#This Row],[Order Date]])</f>
        <v>2011</v>
      </c>
    </row>
    <row r="36" spans="1:10" x14ac:dyDescent="0.25">
      <c r="A36" s="20" t="s">
        <v>82</v>
      </c>
      <c r="B36" s="2">
        <v>41028</v>
      </c>
      <c r="C36" s="3" t="s">
        <v>23</v>
      </c>
      <c r="D36" s="4" t="s">
        <v>76</v>
      </c>
      <c r="E36" s="4" t="s">
        <v>50</v>
      </c>
      <c r="F36" s="4" t="s">
        <v>21</v>
      </c>
      <c r="G36" s="13">
        <v>65</v>
      </c>
      <c r="H36" s="16">
        <v>1755.71</v>
      </c>
      <c r="I36" s="19">
        <v>942.93</v>
      </c>
      <c r="J36" s="23">
        <f>YEAR(Table1[[#This Row],[Order Date]])</f>
        <v>2012</v>
      </c>
    </row>
    <row r="37" spans="1:10" x14ac:dyDescent="0.25">
      <c r="A37" s="20" t="s">
        <v>83</v>
      </c>
      <c r="B37" s="2">
        <v>41509</v>
      </c>
      <c r="C37" s="3" t="s">
        <v>45</v>
      </c>
      <c r="D37" s="4" t="s">
        <v>76</v>
      </c>
      <c r="E37" s="4" t="s">
        <v>42</v>
      </c>
      <c r="F37" s="4" t="s">
        <v>84</v>
      </c>
      <c r="G37" s="13">
        <v>14</v>
      </c>
      <c r="H37" s="16">
        <v>378.27</v>
      </c>
      <c r="I37" s="19">
        <v>203.62</v>
      </c>
      <c r="J37" s="23">
        <f>YEAR(Table1[[#This Row],[Order Date]])</f>
        <v>2013</v>
      </c>
    </row>
    <row r="38" spans="1:10" x14ac:dyDescent="0.25">
      <c r="A38" s="20" t="s">
        <v>85</v>
      </c>
      <c r="B38" s="2">
        <v>41438</v>
      </c>
      <c r="C38" s="3" t="s">
        <v>45</v>
      </c>
      <c r="D38" s="4" t="s">
        <v>76</v>
      </c>
      <c r="E38" s="4" t="s">
        <v>50</v>
      </c>
      <c r="F38" s="4" t="s">
        <v>37</v>
      </c>
      <c r="G38" s="13">
        <v>49</v>
      </c>
      <c r="H38" s="16">
        <v>1323.81</v>
      </c>
      <c r="I38" s="19">
        <v>711.49</v>
      </c>
      <c r="J38" s="23">
        <f>YEAR(Table1[[#This Row],[Order Date]])</f>
        <v>2013</v>
      </c>
    </row>
    <row r="39" spans="1:10" x14ac:dyDescent="0.25">
      <c r="A39" s="20" t="s">
        <v>86</v>
      </c>
      <c r="B39" s="2">
        <v>40574</v>
      </c>
      <c r="C39" s="3" t="s">
        <v>19</v>
      </c>
      <c r="D39" s="4" t="s">
        <v>76</v>
      </c>
      <c r="E39" s="4" t="s">
        <v>20</v>
      </c>
      <c r="F39" s="4" t="s">
        <v>84</v>
      </c>
      <c r="G39" s="13">
        <v>19</v>
      </c>
      <c r="H39" s="16">
        <v>399.02</v>
      </c>
      <c r="I39" s="19">
        <v>176.55</v>
      </c>
      <c r="J39" s="23">
        <f>YEAR(Table1[[#This Row],[Order Date]])</f>
        <v>2011</v>
      </c>
    </row>
    <row r="40" spans="1:10" x14ac:dyDescent="0.25">
      <c r="A40" s="20" t="s">
        <v>87</v>
      </c>
      <c r="B40" s="2">
        <v>41562</v>
      </c>
      <c r="C40" s="3" t="s">
        <v>45</v>
      </c>
      <c r="D40" s="4" t="s">
        <v>76</v>
      </c>
      <c r="E40" s="4" t="s">
        <v>31</v>
      </c>
      <c r="F40" s="4" t="s">
        <v>60</v>
      </c>
      <c r="G40" s="13">
        <v>7</v>
      </c>
      <c r="H40" s="16">
        <v>154.94999999999999</v>
      </c>
      <c r="I40" s="19">
        <v>70.62</v>
      </c>
      <c r="J40" s="23">
        <f>YEAR(Table1[[#This Row],[Order Date]])</f>
        <v>2013</v>
      </c>
    </row>
    <row r="41" spans="1:10" x14ac:dyDescent="0.25">
      <c r="A41" s="20" t="s">
        <v>88</v>
      </c>
      <c r="B41" s="2">
        <v>40601</v>
      </c>
      <c r="C41" s="3" t="s">
        <v>14</v>
      </c>
      <c r="D41" s="4" t="s">
        <v>76</v>
      </c>
      <c r="E41" s="4" t="s">
        <v>24</v>
      </c>
      <c r="F41" s="4" t="s">
        <v>89</v>
      </c>
      <c r="G41" s="13">
        <v>57</v>
      </c>
      <c r="H41" s="16">
        <v>1254.57</v>
      </c>
      <c r="I41" s="19">
        <v>570.77</v>
      </c>
      <c r="J41" s="23">
        <f>YEAR(Table1[[#This Row],[Order Date]])</f>
        <v>2011</v>
      </c>
    </row>
    <row r="42" spans="1:10" x14ac:dyDescent="0.25">
      <c r="A42" s="20" t="s">
        <v>90</v>
      </c>
      <c r="B42" s="2">
        <v>41050</v>
      </c>
      <c r="C42" s="3" t="s">
        <v>23</v>
      </c>
      <c r="D42" s="4" t="s">
        <v>76</v>
      </c>
      <c r="E42" s="4" t="s">
        <v>24</v>
      </c>
      <c r="F42" s="4" t="s">
        <v>48</v>
      </c>
      <c r="G42" s="13">
        <v>33</v>
      </c>
      <c r="H42" s="16">
        <v>627.32000000000005</v>
      </c>
      <c r="I42" s="19">
        <v>264.54000000000002</v>
      </c>
      <c r="J42" s="23">
        <f>YEAR(Table1[[#This Row],[Order Date]])</f>
        <v>2012</v>
      </c>
    </row>
    <row r="43" spans="1:10" x14ac:dyDescent="0.25">
      <c r="A43" s="20" t="s">
        <v>91</v>
      </c>
      <c r="B43" s="2">
        <v>40514</v>
      </c>
      <c r="C43" s="3" t="s">
        <v>14</v>
      </c>
      <c r="D43" s="4" t="s">
        <v>76</v>
      </c>
      <c r="E43" s="4" t="s">
        <v>24</v>
      </c>
      <c r="F43" s="4" t="s">
        <v>48</v>
      </c>
      <c r="G43" s="13">
        <v>40</v>
      </c>
      <c r="H43" s="16">
        <v>880.6</v>
      </c>
      <c r="I43" s="19">
        <v>400.47</v>
      </c>
      <c r="J43" s="23">
        <f>YEAR(Table1[[#This Row],[Order Date]])</f>
        <v>2010</v>
      </c>
    </row>
    <row r="44" spans="1:10" x14ac:dyDescent="0.25">
      <c r="A44" s="20" t="s">
        <v>92</v>
      </c>
      <c r="B44" s="2">
        <v>41351</v>
      </c>
      <c r="C44" s="3" t="s">
        <v>14</v>
      </c>
      <c r="D44" s="4" t="s">
        <v>76</v>
      </c>
      <c r="E44" s="4" t="s">
        <v>50</v>
      </c>
      <c r="F44" s="4" t="s">
        <v>29</v>
      </c>
      <c r="G44" s="13">
        <v>52</v>
      </c>
      <c r="H44" s="16">
        <v>1196.03</v>
      </c>
      <c r="I44" s="19">
        <v>572.80999999999995</v>
      </c>
      <c r="J44" s="23">
        <f>YEAR(Table1[[#This Row],[Order Date]])</f>
        <v>2013</v>
      </c>
    </row>
    <row r="45" spans="1:10" x14ac:dyDescent="0.25">
      <c r="A45" s="20" t="s">
        <v>93</v>
      </c>
      <c r="B45" s="2">
        <v>40668</v>
      </c>
      <c r="C45" s="3" t="s">
        <v>14</v>
      </c>
      <c r="D45" s="4" t="s">
        <v>76</v>
      </c>
      <c r="E45" s="4" t="s">
        <v>42</v>
      </c>
      <c r="F45" s="4" t="s">
        <v>94</v>
      </c>
      <c r="G45" s="13">
        <v>34</v>
      </c>
      <c r="H45" s="16">
        <v>782.32</v>
      </c>
      <c r="I45" s="19">
        <v>374.76</v>
      </c>
      <c r="J45" s="23">
        <f>YEAR(Table1[[#This Row],[Order Date]])</f>
        <v>2011</v>
      </c>
    </row>
    <row r="46" spans="1:10" x14ac:dyDescent="0.25">
      <c r="A46" s="20" t="s">
        <v>95</v>
      </c>
      <c r="B46" s="2">
        <v>40283</v>
      </c>
      <c r="C46" s="3" t="s">
        <v>19</v>
      </c>
      <c r="D46" s="4" t="s">
        <v>76</v>
      </c>
      <c r="E46" s="4" t="s">
        <v>20</v>
      </c>
      <c r="F46" s="4" t="s">
        <v>25</v>
      </c>
      <c r="G46" s="13">
        <v>63</v>
      </c>
      <c r="H46" s="16">
        <v>1323.35</v>
      </c>
      <c r="I46" s="19">
        <v>583.36</v>
      </c>
      <c r="J46" s="23">
        <f>YEAR(Table1[[#This Row],[Order Date]])</f>
        <v>2010</v>
      </c>
    </row>
    <row r="47" spans="1:10" x14ac:dyDescent="0.25">
      <c r="A47" s="20" t="s">
        <v>96</v>
      </c>
      <c r="B47" s="2">
        <v>40565</v>
      </c>
      <c r="C47" s="3" t="s">
        <v>23</v>
      </c>
      <c r="D47" s="4" t="s">
        <v>76</v>
      </c>
      <c r="E47" s="4" t="s">
        <v>31</v>
      </c>
      <c r="F47" s="4" t="s">
        <v>97</v>
      </c>
      <c r="G47" s="13">
        <v>11</v>
      </c>
      <c r="H47" s="16">
        <v>209.92</v>
      </c>
      <c r="I47" s="19">
        <v>88.73</v>
      </c>
      <c r="J47" s="23">
        <f>YEAR(Table1[[#This Row],[Order Date]])</f>
        <v>2011</v>
      </c>
    </row>
    <row r="48" spans="1:10" x14ac:dyDescent="0.25">
      <c r="A48" s="20" t="s">
        <v>98</v>
      </c>
      <c r="B48" s="2">
        <v>40514</v>
      </c>
      <c r="C48" s="3" t="s">
        <v>23</v>
      </c>
      <c r="D48" s="4" t="s">
        <v>76</v>
      </c>
      <c r="E48" s="4" t="s">
        <v>16</v>
      </c>
      <c r="F48" s="4" t="s">
        <v>97</v>
      </c>
      <c r="G48" s="13">
        <v>56</v>
      </c>
      <c r="H48" s="16">
        <v>1232.05</v>
      </c>
      <c r="I48" s="19">
        <v>560.29</v>
      </c>
      <c r="J48" s="23">
        <f>YEAR(Table1[[#This Row],[Order Date]])</f>
        <v>2010</v>
      </c>
    </row>
    <row r="49" spans="1:10" x14ac:dyDescent="0.25">
      <c r="A49" s="20" t="s">
        <v>100</v>
      </c>
      <c r="B49" s="2">
        <v>41004</v>
      </c>
      <c r="C49" s="3" t="s">
        <v>14</v>
      </c>
      <c r="D49" s="4" t="s">
        <v>99</v>
      </c>
      <c r="E49" s="4" t="s">
        <v>42</v>
      </c>
      <c r="F49" s="4" t="s">
        <v>63</v>
      </c>
      <c r="G49" s="13">
        <v>62</v>
      </c>
      <c r="H49" s="16">
        <v>1674.82</v>
      </c>
      <c r="I49" s="19">
        <v>899.56</v>
      </c>
      <c r="J49" s="23">
        <f>YEAR(Table1[[#This Row],[Order Date]])</f>
        <v>2012</v>
      </c>
    </row>
    <row r="50" spans="1:10" x14ac:dyDescent="0.25">
      <c r="A50" s="20" t="s">
        <v>101</v>
      </c>
      <c r="B50" s="2">
        <v>40396</v>
      </c>
      <c r="C50" s="3" t="s">
        <v>14</v>
      </c>
      <c r="D50" s="4" t="s">
        <v>99</v>
      </c>
      <c r="E50" s="4" t="s">
        <v>20</v>
      </c>
      <c r="F50" s="4" t="s">
        <v>27</v>
      </c>
      <c r="G50" s="13">
        <v>43</v>
      </c>
      <c r="H50" s="16">
        <v>1161.25</v>
      </c>
      <c r="I50" s="19">
        <v>623.75</v>
      </c>
      <c r="J50" s="23">
        <f>YEAR(Table1[[#This Row],[Order Date]])</f>
        <v>2010</v>
      </c>
    </row>
    <row r="51" spans="1:10" x14ac:dyDescent="0.25">
      <c r="A51" s="20" t="s">
        <v>102</v>
      </c>
      <c r="B51" s="2">
        <v>41477</v>
      </c>
      <c r="C51" s="3" t="s">
        <v>19</v>
      </c>
      <c r="D51" s="4" t="s">
        <v>99</v>
      </c>
      <c r="E51" s="4" t="s">
        <v>31</v>
      </c>
      <c r="F51" s="4" t="s">
        <v>66</v>
      </c>
      <c r="G51" s="13">
        <v>61</v>
      </c>
      <c r="H51" s="16">
        <v>1647.26</v>
      </c>
      <c r="I51" s="19">
        <v>885.17</v>
      </c>
      <c r="J51" s="23">
        <f>YEAR(Table1[[#This Row],[Order Date]])</f>
        <v>2013</v>
      </c>
    </row>
    <row r="52" spans="1:10" x14ac:dyDescent="0.25">
      <c r="A52" s="20" t="s">
        <v>103</v>
      </c>
      <c r="B52" s="2">
        <v>40409</v>
      </c>
      <c r="C52" s="3" t="s">
        <v>14</v>
      </c>
      <c r="D52" s="4" t="s">
        <v>99</v>
      </c>
      <c r="E52" s="4" t="s">
        <v>42</v>
      </c>
      <c r="F52" s="4" t="s">
        <v>55</v>
      </c>
      <c r="G52" s="13">
        <v>59</v>
      </c>
      <c r="H52" s="16">
        <v>1121.96</v>
      </c>
      <c r="I52" s="19">
        <v>472.38</v>
      </c>
      <c r="J52" s="23">
        <f>YEAR(Table1[[#This Row],[Order Date]])</f>
        <v>2010</v>
      </c>
    </row>
    <row r="53" spans="1:10" x14ac:dyDescent="0.25">
      <c r="A53" s="20" t="s">
        <v>104</v>
      </c>
      <c r="B53" s="2">
        <v>41500</v>
      </c>
      <c r="C53" s="3" t="s">
        <v>23</v>
      </c>
      <c r="D53" s="4" t="s">
        <v>99</v>
      </c>
      <c r="E53" s="4" t="s">
        <v>31</v>
      </c>
      <c r="F53" s="4" t="s">
        <v>35</v>
      </c>
      <c r="G53" s="13">
        <v>10</v>
      </c>
      <c r="H53" s="16">
        <v>270.77999999999997</v>
      </c>
      <c r="I53" s="19">
        <v>145.72999999999999</v>
      </c>
      <c r="J53" s="23">
        <f>YEAR(Table1[[#This Row],[Order Date]])</f>
        <v>2013</v>
      </c>
    </row>
    <row r="54" spans="1:10" x14ac:dyDescent="0.25">
      <c r="A54" s="20" t="s">
        <v>105</v>
      </c>
      <c r="B54" s="2">
        <v>41275</v>
      </c>
      <c r="C54" s="3" t="s">
        <v>19</v>
      </c>
      <c r="D54" s="4" t="s">
        <v>99</v>
      </c>
      <c r="E54" s="4" t="s">
        <v>42</v>
      </c>
      <c r="F54" s="4" t="s">
        <v>17</v>
      </c>
      <c r="G54" s="13">
        <v>24</v>
      </c>
      <c r="H54" s="16">
        <v>456.41</v>
      </c>
      <c r="I54" s="19">
        <v>192.14</v>
      </c>
      <c r="J54" s="23">
        <f>YEAR(Table1[[#This Row],[Order Date]])</f>
        <v>2013</v>
      </c>
    </row>
    <row r="55" spans="1:10" x14ac:dyDescent="0.25">
      <c r="A55" s="20" t="s">
        <v>106</v>
      </c>
      <c r="B55" s="2">
        <v>41102</v>
      </c>
      <c r="C55" s="3" t="s">
        <v>19</v>
      </c>
      <c r="D55" s="4" t="s">
        <v>99</v>
      </c>
      <c r="E55" s="4" t="s">
        <v>42</v>
      </c>
      <c r="F55" s="4" t="s">
        <v>107</v>
      </c>
      <c r="G55" s="13">
        <v>20</v>
      </c>
      <c r="H55" s="16">
        <v>441</v>
      </c>
      <c r="I55" s="19">
        <v>200.54</v>
      </c>
      <c r="J55" s="23">
        <f>YEAR(Table1[[#This Row],[Order Date]])</f>
        <v>2012</v>
      </c>
    </row>
    <row r="56" spans="1:10" x14ac:dyDescent="0.25">
      <c r="A56" s="20" t="s">
        <v>108</v>
      </c>
      <c r="B56" s="2">
        <v>41317</v>
      </c>
      <c r="C56" s="3" t="s">
        <v>19</v>
      </c>
      <c r="D56" s="4" t="s">
        <v>99</v>
      </c>
      <c r="E56" s="4" t="s">
        <v>20</v>
      </c>
      <c r="F56" s="4" t="s">
        <v>109</v>
      </c>
      <c r="G56" s="13">
        <v>12</v>
      </c>
      <c r="H56" s="16">
        <v>252.44</v>
      </c>
      <c r="I56" s="19">
        <v>111.66</v>
      </c>
      <c r="J56" s="23">
        <f>YEAR(Table1[[#This Row],[Order Date]])</f>
        <v>2013</v>
      </c>
    </row>
    <row r="57" spans="1:10" x14ac:dyDescent="0.25">
      <c r="A57" s="20" t="s">
        <v>110</v>
      </c>
      <c r="B57" s="2">
        <v>40486</v>
      </c>
      <c r="C57" s="3" t="s">
        <v>45</v>
      </c>
      <c r="D57" s="4" t="s">
        <v>99</v>
      </c>
      <c r="E57" s="4" t="s">
        <v>24</v>
      </c>
      <c r="F57" s="4" t="s">
        <v>74</v>
      </c>
      <c r="G57" s="13">
        <v>59</v>
      </c>
      <c r="H57" s="16">
        <v>1298.92</v>
      </c>
      <c r="I57" s="19">
        <v>590.75</v>
      </c>
      <c r="J57" s="23">
        <f>YEAR(Table1[[#This Row],[Order Date]])</f>
        <v>2010</v>
      </c>
    </row>
    <row r="58" spans="1:10" x14ac:dyDescent="0.25">
      <c r="A58" s="20" t="s">
        <v>111</v>
      </c>
      <c r="B58" s="2">
        <v>40950</v>
      </c>
      <c r="C58" s="3" t="s">
        <v>45</v>
      </c>
      <c r="D58" s="4" t="s">
        <v>99</v>
      </c>
      <c r="E58" s="4" t="s">
        <v>31</v>
      </c>
      <c r="F58" s="4" t="s">
        <v>35</v>
      </c>
      <c r="G58" s="13">
        <v>62</v>
      </c>
      <c r="H58" s="16">
        <v>1178.07</v>
      </c>
      <c r="I58" s="19">
        <v>496.92</v>
      </c>
      <c r="J58" s="23">
        <f>YEAR(Table1[[#This Row],[Order Date]])</f>
        <v>2012</v>
      </c>
    </row>
    <row r="59" spans="1:10" x14ac:dyDescent="0.25">
      <c r="A59" s="20" t="s">
        <v>112</v>
      </c>
      <c r="B59" s="2">
        <v>40559</v>
      </c>
      <c r="C59" s="3" t="s">
        <v>19</v>
      </c>
      <c r="D59" s="4" t="s">
        <v>99</v>
      </c>
      <c r="E59" s="4" t="s">
        <v>50</v>
      </c>
      <c r="F59" s="4" t="s">
        <v>89</v>
      </c>
      <c r="G59" s="13">
        <v>17</v>
      </c>
      <c r="H59" s="16">
        <v>459.95</v>
      </c>
      <c r="I59" s="19">
        <v>247.23</v>
      </c>
      <c r="J59" s="23">
        <f>YEAR(Table1[[#This Row],[Order Date]])</f>
        <v>2011</v>
      </c>
    </row>
    <row r="60" spans="1:10" x14ac:dyDescent="0.25">
      <c r="A60" s="20" t="s">
        <v>113</v>
      </c>
      <c r="B60" s="2">
        <v>41628</v>
      </c>
      <c r="C60" s="3" t="s">
        <v>23</v>
      </c>
      <c r="D60" s="4" t="s">
        <v>99</v>
      </c>
      <c r="E60" s="4" t="s">
        <v>50</v>
      </c>
      <c r="F60" s="4" t="s">
        <v>97</v>
      </c>
      <c r="G60" s="13">
        <v>53</v>
      </c>
      <c r="H60" s="16">
        <v>1219.7</v>
      </c>
      <c r="I60" s="19">
        <v>583.67999999999995</v>
      </c>
      <c r="J60" s="23">
        <f>YEAR(Table1[[#This Row],[Order Date]])</f>
        <v>2013</v>
      </c>
    </row>
    <row r="61" spans="1:10" x14ac:dyDescent="0.25">
      <c r="A61" s="20" t="s">
        <v>114</v>
      </c>
      <c r="B61" s="2">
        <v>40206</v>
      </c>
      <c r="C61" s="3" t="s">
        <v>23</v>
      </c>
      <c r="D61" s="4" t="s">
        <v>99</v>
      </c>
      <c r="E61" s="4" t="s">
        <v>16</v>
      </c>
      <c r="F61" s="4" t="s">
        <v>25</v>
      </c>
      <c r="G61" s="13">
        <v>8</v>
      </c>
      <c r="H61" s="16">
        <v>152.24</v>
      </c>
      <c r="I61" s="19">
        <v>64.989999999999995</v>
      </c>
      <c r="J61" s="23">
        <f>YEAR(Table1[[#This Row],[Order Date]])</f>
        <v>2010</v>
      </c>
    </row>
    <row r="62" spans="1:10" x14ac:dyDescent="0.25">
      <c r="A62" s="20" t="s">
        <v>115</v>
      </c>
      <c r="B62" s="2">
        <v>40206</v>
      </c>
      <c r="C62" s="3" t="s">
        <v>19</v>
      </c>
      <c r="D62" s="4" t="s">
        <v>99</v>
      </c>
      <c r="E62" s="4" t="s">
        <v>16</v>
      </c>
      <c r="F62" s="4" t="s">
        <v>58</v>
      </c>
      <c r="G62" s="13">
        <v>35</v>
      </c>
      <c r="H62" s="16">
        <v>770.8</v>
      </c>
      <c r="I62" s="19">
        <v>350.53</v>
      </c>
      <c r="J62" s="23">
        <f>YEAR(Table1[[#This Row],[Order Date]])</f>
        <v>2010</v>
      </c>
    </row>
    <row r="63" spans="1:10" x14ac:dyDescent="0.25">
      <c r="A63" s="20" t="s">
        <v>116</v>
      </c>
      <c r="B63" s="2">
        <v>41323</v>
      </c>
      <c r="C63" s="3" t="s">
        <v>14</v>
      </c>
      <c r="D63" s="4" t="s">
        <v>99</v>
      </c>
      <c r="E63" s="4" t="s">
        <v>31</v>
      </c>
      <c r="F63" s="4" t="s">
        <v>43</v>
      </c>
      <c r="G63" s="13">
        <v>59</v>
      </c>
      <c r="H63" s="16">
        <v>1357.25</v>
      </c>
      <c r="I63" s="19">
        <v>649.15</v>
      </c>
      <c r="J63" s="23">
        <f>YEAR(Table1[[#This Row],[Order Date]])</f>
        <v>2013</v>
      </c>
    </row>
    <row r="64" spans="1:10" x14ac:dyDescent="0.25">
      <c r="A64" s="20" t="s">
        <v>117</v>
      </c>
      <c r="B64" s="2">
        <v>41519</v>
      </c>
      <c r="C64" s="3" t="s">
        <v>45</v>
      </c>
      <c r="D64" s="4" t="s">
        <v>99</v>
      </c>
      <c r="E64" s="4" t="s">
        <v>20</v>
      </c>
      <c r="F64" s="4" t="s">
        <v>48</v>
      </c>
      <c r="G64" s="13">
        <v>10</v>
      </c>
      <c r="H64" s="16">
        <v>220.18</v>
      </c>
      <c r="I64" s="19">
        <v>100.84</v>
      </c>
      <c r="J64" s="23">
        <f>YEAR(Table1[[#This Row],[Order Date]])</f>
        <v>2013</v>
      </c>
    </row>
    <row r="65" spans="1:10" x14ac:dyDescent="0.25">
      <c r="A65" s="20" t="s">
        <v>118</v>
      </c>
      <c r="B65" s="2">
        <v>41463</v>
      </c>
      <c r="C65" s="3" t="s">
        <v>45</v>
      </c>
      <c r="D65" s="4" t="s">
        <v>99</v>
      </c>
      <c r="E65" s="4" t="s">
        <v>16</v>
      </c>
      <c r="F65" s="4" t="s">
        <v>97</v>
      </c>
      <c r="G65" s="13">
        <v>58</v>
      </c>
      <c r="H65" s="16">
        <v>1102.81</v>
      </c>
      <c r="I65" s="19">
        <v>464.06</v>
      </c>
      <c r="J65" s="23">
        <f>YEAR(Table1[[#This Row],[Order Date]])</f>
        <v>2013</v>
      </c>
    </row>
    <row r="66" spans="1:10" x14ac:dyDescent="0.25">
      <c r="A66" s="20" t="s">
        <v>119</v>
      </c>
      <c r="B66" s="2">
        <v>40690</v>
      </c>
      <c r="C66" s="3" t="s">
        <v>45</v>
      </c>
      <c r="D66" s="4" t="s">
        <v>99</v>
      </c>
      <c r="E66" s="4" t="s">
        <v>31</v>
      </c>
      <c r="F66" s="4" t="s">
        <v>29</v>
      </c>
      <c r="G66" s="13">
        <v>58</v>
      </c>
      <c r="H66" s="16">
        <v>1566.83</v>
      </c>
      <c r="I66" s="19">
        <v>841.43</v>
      </c>
      <c r="J66" s="23">
        <f>YEAR(Table1[[#This Row],[Order Date]])</f>
        <v>2011</v>
      </c>
    </row>
    <row r="67" spans="1:10" x14ac:dyDescent="0.25">
      <c r="A67" s="20" t="s">
        <v>120</v>
      </c>
      <c r="B67" s="2">
        <v>41029</v>
      </c>
      <c r="C67" s="3" t="s">
        <v>23</v>
      </c>
      <c r="D67" s="4" t="s">
        <v>99</v>
      </c>
      <c r="E67" s="4" t="s">
        <v>24</v>
      </c>
      <c r="F67" s="4" t="s">
        <v>74</v>
      </c>
      <c r="G67" s="13">
        <v>23</v>
      </c>
      <c r="H67" s="16">
        <v>437.92</v>
      </c>
      <c r="I67" s="19">
        <v>184.33</v>
      </c>
      <c r="J67" s="23">
        <f>YEAR(Table1[[#This Row],[Order Date]])</f>
        <v>2012</v>
      </c>
    </row>
    <row r="68" spans="1:10" x14ac:dyDescent="0.25">
      <c r="A68" s="20" t="s">
        <v>121</v>
      </c>
      <c r="B68" s="2">
        <v>41089</v>
      </c>
      <c r="C68" s="3" t="s">
        <v>19</v>
      </c>
      <c r="D68" s="4" t="s">
        <v>99</v>
      </c>
      <c r="E68" s="4" t="s">
        <v>50</v>
      </c>
      <c r="F68" s="4" t="s">
        <v>51</v>
      </c>
      <c r="G68" s="13">
        <v>64</v>
      </c>
      <c r="H68" s="16">
        <v>1216.1199999999999</v>
      </c>
      <c r="I68" s="19">
        <v>512.86</v>
      </c>
      <c r="J68" s="23">
        <f>YEAR(Table1[[#This Row],[Order Date]])</f>
        <v>2012</v>
      </c>
    </row>
    <row r="69" spans="1:10" x14ac:dyDescent="0.25">
      <c r="A69" s="20" t="s">
        <v>122</v>
      </c>
      <c r="B69" s="2">
        <v>41265</v>
      </c>
      <c r="C69" s="3" t="s">
        <v>23</v>
      </c>
      <c r="D69" s="4" t="s">
        <v>99</v>
      </c>
      <c r="E69" s="4" t="s">
        <v>24</v>
      </c>
      <c r="F69" s="4" t="s">
        <v>55</v>
      </c>
      <c r="G69" s="13">
        <v>13</v>
      </c>
      <c r="H69" s="16">
        <v>273.10000000000002</v>
      </c>
      <c r="I69" s="19">
        <v>120.64</v>
      </c>
      <c r="J69" s="23">
        <f>YEAR(Table1[[#This Row],[Order Date]])</f>
        <v>2012</v>
      </c>
    </row>
    <row r="70" spans="1:10" x14ac:dyDescent="0.25">
      <c r="A70" s="20" t="s">
        <v>123</v>
      </c>
      <c r="B70" s="2">
        <v>40906</v>
      </c>
      <c r="C70" s="3" t="s">
        <v>14</v>
      </c>
      <c r="D70" s="4" t="s">
        <v>99</v>
      </c>
      <c r="E70" s="4" t="s">
        <v>50</v>
      </c>
      <c r="F70" s="4" t="s">
        <v>71</v>
      </c>
      <c r="G70" s="13">
        <v>11</v>
      </c>
      <c r="H70" s="16">
        <v>242.26</v>
      </c>
      <c r="I70" s="19">
        <v>110.91</v>
      </c>
      <c r="J70" s="23">
        <f>YEAR(Table1[[#This Row],[Order Date]])</f>
        <v>2011</v>
      </c>
    </row>
    <row r="71" spans="1:10" x14ac:dyDescent="0.25">
      <c r="A71" s="20" t="s">
        <v>124</v>
      </c>
      <c r="B71" s="2">
        <v>40395</v>
      </c>
      <c r="C71" s="3" t="s">
        <v>14</v>
      </c>
      <c r="D71" s="4" t="s">
        <v>99</v>
      </c>
      <c r="E71" s="4" t="s">
        <v>20</v>
      </c>
      <c r="F71" s="4" t="s">
        <v>84</v>
      </c>
      <c r="G71" s="13">
        <v>56</v>
      </c>
      <c r="H71" s="16">
        <v>1512.6</v>
      </c>
      <c r="I71" s="19">
        <v>812.83</v>
      </c>
      <c r="J71" s="23">
        <f>YEAR(Table1[[#This Row],[Order Date]])</f>
        <v>2010</v>
      </c>
    </row>
    <row r="72" spans="1:10" x14ac:dyDescent="0.25">
      <c r="A72" s="20" t="s">
        <v>125</v>
      </c>
      <c r="B72" s="2">
        <v>40829</v>
      </c>
      <c r="C72" s="3" t="s">
        <v>19</v>
      </c>
      <c r="D72" s="4" t="s">
        <v>99</v>
      </c>
      <c r="E72" s="4" t="s">
        <v>42</v>
      </c>
      <c r="F72" s="4" t="s">
        <v>29</v>
      </c>
      <c r="G72" s="13">
        <v>29</v>
      </c>
      <c r="H72" s="16">
        <v>783.75</v>
      </c>
      <c r="I72" s="19">
        <v>421.2</v>
      </c>
      <c r="J72" s="23">
        <f>YEAR(Table1[[#This Row],[Order Date]])</f>
        <v>2011</v>
      </c>
    </row>
    <row r="73" spans="1:10" x14ac:dyDescent="0.25">
      <c r="A73" s="20" t="s">
        <v>126</v>
      </c>
      <c r="B73" s="2">
        <v>41313</v>
      </c>
      <c r="C73" s="3" t="s">
        <v>23</v>
      </c>
      <c r="D73" s="4" t="s">
        <v>99</v>
      </c>
      <c r="E73" s="4" t="s">
        <v>50</v>
      </c>
      <c r="F73" s="4" t="s">
        <v>21</v>
      </c>
      <c r="G73" s="13">
        <v>29</v>
      </c>
      <c r="H73" s="16">
        <v>667.99</v>
      </c>
      <c r="I73" s="19">
        <v>319.45</v>
      </c>
      <c r="J73" s="23">
        <f>YEAR(Table1[[#This Row],[Order Date]])</f>
        <v>2013</v>
      </c>
    </row>
    <row r="74" spans="1:10" x14ac:dyDescent="0.25">
      <c r="A74" s="20" t="s">
        <v>127</v>
      </c>
      <c r="B74" s="2">
        <v>41231</v>
      </c>
      <c r="C74" s="3" t="s">
        <v>14</v>
      </c>
      <c r="D74" s="4" t="s">
        <v>99</v>
      </c>
      <c r="E74" s="4" t="s">
        <v>24</v>
      </c>
      <c r="F74" s="4" t="s">
        <v>25</v>
      </c>
      <c r="G74" s="13">
        <v>53</v>
      </c>
      <c r="H74" s="16">
        <v>1166.31</v>
      </c>
      <c r="I74" s="19">
        <v>530.24</v>
      </c>
      <c r="J74" s="23">
        <f>YEAR(Table1[[#This Row],[Order Date]])</f>
        <v>2012</v>
      </c>
    </row>
    <row r="75" spans="1:10" x14ac:dyDescent="0.25">
      <c r="A75" s="20" t="s">
        <v>128</v>
      </c>
      <c r="B75" s="2">
        <v>40669</v>
      </c>
      <c r="C75" s="3" t="s">
        <v>23</v>
      </c>
      <c r="D75" s="4" t="s">
        <v>99</v>
      </c>
      <c r="E75" s="4" t="s">
        <v>16</v>
      </c>
      <c r="F75" s="4" t="s">
        <v>97</v>
      </c>
      <c r="G75" s="13">
        <v>35</v>
      </c>
      <c r="H75" s="16">
        <v>770.18</v>
      </c>
      <c r="I75" s="19">
        <v>350.66</v>
      </c>
      <c r="J75" s="23">
        <f>YEAR(Table1[[#This Row],[Order Date]])</f>
        <v>2011</v>
      </c>
    </row>
    <row r="76" spans="1:10" x14ac:dyDescent="0.25">
      <c r="A76" s="20" t="s">
        <v>129</v>
      </c>
      <c r="B76" s="2">
        <v>41032</v>
      </c>
      <c r="C76" s="3" t="s">
        <v>19</v>
      </c>
      <c r="D76" s="4" t="s">
        <v>99</v>
      </c>
      <c r="E76" s="4" t="s">
        <v>50</v>
      </c>
      <c r="F76" s="4" t="s">
        <v>60</v>
      </c>
      <c r="G76" s="13">
        <v>6</v>
      </c>
      <c r="H76" s="16">
        <v>132.34</v>
      </c>
      <c r="I76" s="19">
        <v>60.58</v>
      </c>
      <c r="J76" s="23">
        <f>YEAR(Table1[[#This Row],[Order Date]])</f>
        <v>2012</v>
      </c>
    </row>
    <row r="77" spans="1:10" x14ac:dyDescent="0.25">
      <c r="A77" s="20" t="s">
        <v>130</v>
      </c>
      <c r="B77" s="2">
        <v>41375</v>
      </c>
      <c r="C77" s="3" t="s">
        <v>14</v>
      </c>
      <c r="D77" s="4" t="s">
        <v>99</v>
      </c>
      <c r="E77" s="4" t="s">
        <v>42</v>
      </c>
      <c r="F77" s="4" t="s">
        <v>35</v>
      </c>
      <c r="G77" s="13">
        <v>44</v>
      </c>
      <c r="H77" s="16">
        <v>1188.81</v>
      </c>
      <c r="I77" s="19">
        <v>638.04</v>
      </c>
      <c r="J77" s="23">
        <f>YEAR(Table1[[#This Row],[Order Date]])</f>
        <v>2013</v>
      </c>
    </row>
    <row r="78" spans="1:10" x14ac:dyDescent="0.25">
      <c r="A78" s="20" t="s">
        <v>131</v>
      </c>
      <c r="B78" s="2">
        <v>41581</v>
      </c>
      <c r="C78" s="3" t="s">
        <v>45</v>
      </c>
      <c r="D78" s="4" t="s">
        <v>99</v>
      </c>
      <c r="E78" s="4" t="s">
        <v>20</v>
      </c>
      <c r="F78" s="4" t="s">
        <v>107</v>
      </c>
      <c r="G78" s="13">
        <v>9</v>
      </c>
      <c r="H78" s="16">
        <v>198.06</v>
      </c>
      <c r="I78" s="19">
        <v>90.45</v>
      </c>
      <c r="J78" s="23">
        <f>YEAR(Table1[[#This Row],[Order Date]])</f>
        <v>2013</v>
      </c>
    </row>
    <row r="79" spans="1:10" x14ac:dyDescent="0.25">
      <c r="A79" s="20" t="s">
        <v>132</v>
      </c>
      <c r="B79" s="2">
        <v>40484</v>
      </c>
      <c r="C79" s="3" t="s">
        <v>14</v>
      </c>
      <c r="D79" s="4" t="s">
        <v>99</v>
      </c>
      <c r="E79" s="4" t="s">
        <v>24</v>
      </c>
      <c r="F79" s="4" t="s">
        <v>60</v>
      </c>
      <c r="G79" s="13">
        <v>22</v>
      </c>
      <c r="H79" s="16">
        <v>594.16999999999996</v>
      </c>
      <c r="I79" s="19">
        <v>319.41000000000003</v>
      </c>
      <c r="J79" s="23">
        <f>YEAR(Table1[[#This Row],[Order Date]])</f>
        <v>2010</v>
      </c>
    </row>
    <row r="80" spans="1:10" x14ac:dyDescent="0.25">
      <c r="A80" s="20" t="s">
        <v>133</v>
      </c>
      <c r="B80" s="2">
        <v>40352</v>
      </c>
      <c r="C80" s="3" t="s">
        <v>19</v>
      </c>
      <c r="D80" s="4" t="s">
        <v>99</v>
      </c>
      <c r="E80" s="4" t="s">
        <v>31</v>
      </c>
      <c r="F80" s="4" t="s">
        <v>58</v>
      </c>
      <c r="G80" s="13">
        <v>49</v>
      </c>
      <c r="H80" s="16">
        <v>931.09</v>
      </c>
      <c r="I80" s="19">
        <v>392.91</v>
      </c>
      <c r="J80" s="23">
        <f>YEAR(Table1[[#This Row],[Order Date]])</f>
        <v>2010</v>
      </c>
    </row>
    <row r="81" spans="1:10" x14ac:dyDescent="0.25">
      <c r="A81" s="20" t="s">
        <v>134</v>
      </c>
      <c r="B81" s="2">
        <v>41115</v>
      </c>
      <c r="C81" s="3" t="s">
        <v>23</v>
      </c>
      <c r="D81" s="4" t="s">
        <v>99</v>
      </c>
      <c r="E81" s="4" t="s">
        <v>42</v>
      </c>
      <c r="F81" s="4" t="s">
        <v>37</v>
      </c>
      <c r="G81" s="13">
        <v>13</v>
      </c>
      <c r="H81" s="16">
        <v>299.64</v>
      </c>
      <c r="I81" s="19">
        <v>143.78</v>
      </c>
      <c r="J81" s="23">
        <f>YEAR(Table1[[#This Row],[Order Date]])</f>
        <v>2012</v>
      </c>
    </row>
    <row r="82" spans="1:10" x14ac:dyDescent="0.25">
      <c r="A82" s="20" t="s">
        <v>135</v>
      </c>
      <c r="B82" s="2">
        <v>41310</v>
      </c>
      <c r="C82" s="3" t="s">
        <v>14</v>
      </c>
      <c r="D82" s="4" t="s">
        <v>99</v>
      </c>
      <c r="E82" s="4" t="s">
        <v>20</v>
      </c>
      <c r="F82" s="4" t="s">
        <v>63</v>
      </c>
      <c r="G82" s="13">
        <v>63</v>
      </c>
      <c r="H82" s="16">
        <v>1701.68</v>
      </c>
      <c r="I82" s="19">
        <v>913.74</v>
      </c>
      <c r="J82" s="23">
        <f>YEAR(Table1[[#This Row],[Order Date]])</f>
        <v>2013</v>
      </c>
    </row>
    <row r="83" spans="1:10" x14ac:dyDescent="0.25">
      <c r="A83" s="20" t="s">
        <v>136</v>
      </c>
      <c r="B83" s="2">
        <v>41318</v>
      </c>
      <c r="C83" s="3" t="s">
        <v>14</v>
      </c>
      <c r="D83" s="4" t="s">
        <v>99</v>
      </c>
      <c r="E83" s="4" t="s">
        <v>42</v>
      </c>
      <c r="F83" s="4" t="s">
        <v>94</v>
      </c>
      <c r="G83" s="13">
        <v>21</v>
      </c>
      <c r="H83" s="16">
        <v>399.15</v>
      </c>
      <c r="I83" s="19">
        <v>168.95</v>
      </c>
      <c r="J83" s="23">
        <f>YEAR(Table1[[#This Row],[Order Date]])</f>
        <v>2013</v>
      </c>
    </row>
    <row r="84" spans="1:10" x14ac:dyDescent="0.25">
      <c r="A84" s="20" t="s">
        <v>137</v>
      </c>
      <c r="B84" s="2">
        <v>41066</v>
      </c>
      <c r="C84" s="3" t="s">
        <v>23</v>
      </c>
      <c r="D84" s="4" t="s">
        <v>99</v>
      </c>
      <c r="E84" s="4" t="s">
        <v>31</v>
      </c>
      <c r="F84" s="4" t="s">
        <v>53</v>
      </c>
      <c r="G84" s="13">
        <v>17</v>
      </c>
      <c r="H84" s="16">
        <v>374.81</v>
      </c>
      <c r="I84" s="19">
        <v>170.37</v>
      </c>
      <c r="J84" s="23">
        <f>YEAR(Table1[[#This Row],[Order Date]])</f>
        <v>2012</v>
      </c>
    </row>
    <row r="85" spans="1:10" x14ac:dyDescent="0.25">
      <c r="A85" s="20" t="s">
        <v>138</v>
      </c>
      <c r="B85" s="2">
        <v>40349</v>
      </c>
      <c r="C85" s="3" t="s">
        <v>14</v>
      </c>
      <c r="D85" s="4" t="s">
        <v>99</v>
      </c>
      <c r="E85" s="4" t="s">
        <v>20</v>
      </c>
      <c r="F85" s="4" t="s">
        <v>48</v>
      </c>
      <c r="G85" s="13">
        <v>21</v>
      </c>
      <c r="H85" s="16">
        <v>462.17</v>
      </c>
      <c r="I85" s="19">
        <v>210.81</v>
      </c>
      <c r="J85" s="23">
        <f>YEAR(Table1[[#This Row],[Order Date]])</f>
        <v>2010</v>
      </c>
    </row>
    <row r="86" spans="1:10" x14ac:dyDescent="0.25">
      <c r="A86" s="20" t="s">
        <v>139</v>
      </c>
      <c r="B86" s="2">
        <v>41115</v>
      </c>
      <c r="C86" s="3" t="s">
        <v>45</v>
      </c>
      <c r="D86" s="4" t="s">
        <v>99</v>
      </c>
      <c r="E86" s="4" t="s">
        <v>16</v>
      </c>
      <c r="F86" s="4" t="s">
        <v>107</v>
      </c>
      <c r="G86" s="13">
        <v>44</v>
      </c>
      <c r="H86" s="16">
        <v>924.29</v>
      </c>
      <c r="I86" s="19">
        <v>407.31</v>
      </c>
      <c r="J86" s="23">
        <f>YEAR(Table1[[#This Row],[Order Date]])</f>
        <v>2012</v>
      </c>
    </row>
    <row r="87" spans="1:10" x14ac:dyDescent="0.25">
      <c r="A87" s="20" t="s">
        <v>140</v>
      </c>
      <c r="B87" s="2">
        <v>41598</v>
      </c>
      <c r="C87" s="3" t="s">
        <v>19</v>
      </c>
      <c r="D87" s="4" t="s">
        <v>99</v>
      </c>
      <c r="E87" s="4" t="s">
        <v>24</v>
      </c>
      <c r="F87" s="4" t="s">
        <v>141</v>
      </c>
      <c r="G87" s="13">
        <v>61</v>
      </c>
      <c r="H87" s="16">
        <v>5000.6000000000004</v>
      </c>
      <c r="I87" s="19">
        <v>610.16</v>
      </c>
      <c r="J87" s="23">
        <f>YEAR(Table1[[#This Row],[Order Date]])</f>
        <v>2013</v>
      </c>
    </row>
    <row r="88" spans="1:10" x14ac:dyDescent="0.25">
      <c r="A88" s="20" t="s">
        <v>142</v>
      </c>
      <c r="B88" s="2">
        <v>40480</v>
      </c>
      <c r="C88" s="3" t="s">
        <v>23</v>
      </c>
      <c r="D88" s="4" t="s">
        <v>99</v>
      </c>
      <c r="E88" s="4" t="s">
        <v>20</v>
      </c>
      <c r="F88" s="4" t="s">
        <v>51</v>
      </c>
      <c r="G88" s="13">
        <v>10</v>
      </c>
      <c r="H88" s="16">
        <v>230.25</v>
      </c>
      <c r="I88" s="19">
        <v>110.43</v>
      </c>
      <c r="J88" s="23">
        <f>YEAR(Table1[[#This Row],[Order Date]])</f>
        <v>2010</v>
      </c>
    </row>
    <row r="89" spans="1:10" x14ac:dyDescent="0.25">
      <c r="A89" s="20" t="s">
        <v>143</v>
      </c>
      <c r="B89" s="2">
        <v>41135</v>
      </c>
      <c r="C89" s="3" t="s">
        <v>14</v>
      </c>
      <c r="D89" s="4" t="s">
        <v>99</v>
      </c>
      <c r="E89" s="4" t="s">
        <v>50</v>
      </c>
      <c r="F89" s="4" t="s">
        <v>144</v>
      </c>
      <c r="G89" s="13">
        <v>36</v>
      </c>
      <c r="H89" s="16">
        <v>756.46</v>
      </c>
      <c r="I89" s="19">
        <v>333.2</v>
      </c>
      <c r="J89" s="23">
        <f>YEAR(Table1[[#This Row],[Order Date]])</f>
        <v>2012</v>
      </c>
    </row>
    <row r="90" spans="1:10" x14ac:dyDescent="0.25">
      <c r="A90" s="20" t="s">
        <v>145</v>
      </c>
      <c r="B90" s="2">
        <v>41231</v>
      </c>
      <c r="C90" s="3" t="s">
        <v>14</v>
      </c>
      <c r="D90" s="4" t="s">
        <v>99</v>
      </c>
      <c r="E90" s="4" t="s">
        <v>42</v>
      </c>
      <c r="F90" s="4" t="s">
        <v>109</v>
      </c>
      <c r="G90" s="13">
        <v>46</v>
      </c>
      <c r="H90" s="16">
        <v>1058.01</v>
      </c>
      <c r="I90" s="19">
        <v>506.64</v>
      </c>
      <c r="J90" s="23">
        <f>YEAR(Table1[[#This Row],[Order Date]])</f>
        <v>2012</v>
      </c>
    </row>
    <row r="91" spans="1:10" x14ac:dyDescent="0.25">
      <c r="A91" s="20" t="s">
        <v>146</v>
      </c>
      <c r="B91" s="2">
        <v>40932</v>
      </c>
      <c r="C91" s="3" t="s">
        <v>23</v>
      </c>
      <c r="D91" s="4" t="s">
        <v>99</v>
      </c>
      <c r="E91" s="4" t="s">
        <v>42</v>
      </c>
      <c r="F91" s="4" t="s">
        <v>97</v>
      </c>
      <c r="G91" s="13">
        <v>44</v>
      </c>
      <c r="H91" s="16">
        <v>1188.22</v>
      </c>
      <c r="I91" s="19">
        <v>638.79</v>
      </c>
      <c r="J91" s="23">
        <f>YEAR(Table1[[#This Row],[Order Date]])</f>
        <v>2012</v>
      </c>
    </row>
    <row r="92" spans="1:10" x14ac:dyDescent="0.25">
      <c r="A92" s="20" t="s">
        <v>147</v>
      </c>
      <c r="B92" s="2">
        <v>41108</v>
      </c>
      <c r="C92" s="3" t="s">
        <v>45</v>
      </c>
      <c r="D92" s="4" t="s">
        <v>99</v>
      </c>
      <c r="E92" s="4" t="s">
        <v>16</v>
      </c>
      <c r="F92" s="4" t="s">
        <v>51</v>
      </c>
      <c r="G92" s="13">
        <v>25</v>
      </c>
      <c r="H92" s="16">
        <v>550.39</v>
      </c>
      <c r="I92" s="19">
        <v>250.46</v>
      </c>
      <c r="J92" s="23">
        <f>YEAR(Table1[[#This Row],[Order Date]])</f>
        <v>2012</v>
      </c>
    </row>
    <row r="93" spans="1:10" x14ac:dyDescent="0.25">
      <c r="A93" s="20" t="s">
        <v>148</v>
      </c>
      <c r="B93" s="2">
        <v>40460</v>
      </c>
      <c r="C93" s="3" t="s">
        <v>23</v>
      </c>
      <c r="D93" s="4" t="s">
        <v>99</v>
      </c>
      <c r="E93" s="4" t="s">
        <v>50</v>
      </c>
      <c r="F93" s="4" t="s">
        <v>141</v>
      </c>
      <c r="G93" s="13">
        <v>51</v>
      </c>
      <c r="H93" s="16">
        <v>969.72</v>
      </c>
      <c r="I93" s="19">
        <v>408.08</v>
      </c>
      <c r="J93" s="23">
        <f>YEAR(Table1[[#This Row],[Order Date]])</f>
        <v>2010</v>
      </c>
    </row>
    <row r="94" spans="1:10" x14ac:dyDescent="0.25">
      <c r="A94" s="20" t="s">
        <v>149</v>
      </c>
      <c r="B94" s="2">
        <v>41591</v>
      </c>
      <c r="C94" s="3" t="s">
        <v>23</v>
      </c>
      <c r="D94" s="4" t="s">
        <v>99</v>
      </c>
      <c r="E94" s="4" t="s">
        <v>50</v>
      </c>
      <c r="F94" s="4" t="s">
        <v>150</v>
      </c>
      <c r="G94" s="13">
        <v>15</v>
      </c>
      <c r="H94" s="16">
        <v>345.88</v>
      </c>
      <c r="I94" s="19">
        <v>165.74</v>
      </c>
      <c r="J94" s="23">
        <f>YEAR(Table1[[#This Row],[Order Date]])</f>
        <v>2013</v>
      </c>
    </row>
    <row r="95" spans="1:10" x14ac:dyDescent="0.25">
      <c r="A95" s="20" t="s">
        <v>151</v>
      </c>
      <c r="B95" s="2">
        <v>40945</v>
      </c>
      <c r="C95" s="3" t="s">
        <v>14</v>
      </c>
      <c r="D95" s="4" t="s">
        <v>99</v>
      </c>
      <c r="E95" s="4" t="s">
        <v>31</v>
      </c>
      <c r="F95" s="4" t="s">
        <v>25</v>
      </c>
      <c r="G95" s="13">
        <v>50</v>
      </c>
      <c r="H95" s="16">
        <v>1100.1400000000001</v>
      </c>
      <c r="I95" s="19">
        <v>500.16</v>
      </c>
      <c r="J95" s="23">
        <f>YEAR(Table1[[#This Row],[Order Date]])</f>
        <v>2012</v>
      </c>
    </row>
    <row r="96" spans="1:10" x14ac:dyDescent="0.25">
      <c r="A96" s="20" t="s">
        <v>152</v>
      </c>
      <c r="B96" s="2">
        <v>40831</v>
      </c>
      <c r="C96" s="3" t="s">
        <v>19</v>
      </c>
      <c r="D96" s="4" t="s">
        <v>99</v>
      </c>
      <c r="E96" s="4" t="s">
        <v>20</v>
      </c>
      <c r="F96" s="4" t="s">
        <v>89</v>
      </c>
      <c r="G96" s="13">
        <v>10</v>
      </c>
      <c r="H96" s="16">
        <v>270.5</v>
      </c>
      <c r="I96" s="19">
        <v>145.57</v>
      </c>
      <c r="J96" s="23">
        <f>YEAR(Table1[[#This Row],[Order Date]])</f>
        <v>2011</v>
      </c>
    </row>
    <row r="97" spans="1:10" x14ac:dyDescent="0.25">
      <c r="A97" s="20" t="s">
        <v>153</v>
      </c>
      <c r="B97" s="2">
        <v>41526</v>
      </c>
      <c r="C97" s="3" t="s">
        <v>19</v>
      </c>
      <c r="D97" s="4" t="s">
        <v>99</v>
      </c>
      <c r="E97" s="4" t="s">
        <v>16</v>
      </c>
      <c r="F97" s="4" t="s">
        <v>40</v>
      </c>
      <c r="G97" s="13">
        <v>23</v>
      </c>
      <c r="H97" s="16">
        <v>437.81</v>
      </c>
      <c r="I97" s="19">
        <v>184.16</v>
      </c>
      <c r="J97" s="23">
        <f>YEAR(Table1[[#This Row],[Order Date]])</f>
        <v>2013</v>
      </c>
    </row>
    <row r="98" spans="1:10" x14ac:dyDescent="0.25">
      <c r="B98"/>
      <c r="G98"/>
      <c r="H98"/>
      <c r="I98"/>
    </row>
    <row r="99" spans="1:10" x14ac:dyDescent="0.25">
      <c r="B99"/>
      <c r="G99"/>
      <c r="H99"/>
      <c r="I99"/>
    </row>
    <row r="100" spans="1:10" x14ac:dyDescent="0.25">
      <c r="B100"/>
      <c r="G100"/>
      <c r="H100"/>
      <c r="I100"/>
    </row>
    <row r="101" spans="1:10" x14ac:dyDescent="0.25">
      <c r="B101"/>
      <c r="G101"/>
      <c r="H101"/>
      <c r="I101"/>
    </row>
    <row r="102" spans="1:10" x14ac:dyDescent="0.25">
      <c r="B102"/>
      <c r="G102"/>
      <c r="H102"/>
      <c r="I102"/>
    </row>
    <row r="103" spans="1:10" x14ac:dyDescent="0.25">
      <c r="B103"/>
      <c r="G103"/>
      <c r="H103"/>
      <c r="I103"/>
    </row>
    <row r="104" spans="1:10" x14ac:dyDescent="0.25">
      <c r="B104"/>
      <c r="G104"/>
      <c r="H104"/>
      <c r="I104"/>
    </row>
    <row r="105" spans="1:10" x14ac:dyDescent="0.25">
      <c r="B105"/>
      <c r="G105"/>
      <c r="H105"/>
      <c r="I105"/>
    </row>
    <row r="106" spans="1:10" x14ac:dyDescent="0.25">
      <c r="B106"/>
      <c r="G106"/>
      <c r="H106"/>
      <c r="I106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5"/>
  <sheetViews>
    <sheetView workbookViewId="0">
      <selection activeCell="E13" sqref="E13"/>
    </sheetView>
  </sheetViews>
  <sheetFormatPr defaultRowHeight="15" x14ac:dyDescent="0.25"/>
  <sheetData>
    <row r="2" spans="2:6" ht="21" x14ac:dyDescent="0.35">
      <c r="B2" s="1" t="s">
        <v>0</v>
      </c>
      <c r="C2" s="1"/>
      <c r="D2" s="1"/>
      <c r="E2" s="1"/>
      <c r="F2" s="1"/>
    </row>
    <row r="3" spans="2:6" ht="21" x14ac:dyDescent="0.35">
      <c r="B3" s="1" t="s">
        <v>1</v>
      </c>
      <c r="C3" s="1"/>
      <c r="D3" s="1"/>
      <c r="E3" s="1"/>
      <c r="F3" s="1"/>
    </row>
    <row r="4" spans="2:6" ht="21" x14ac:dyDescent="0.35">
      <c r="B4" s="1" t="s">
        <v>2</v>
      </c>
      <c r="C4" s="1"/>
      <c r="D4" s="1"/>
      <c r="E4" s="1"/>
      <c r="F4" s="1"/>
    </row>
    <row r="5" spans="2:6" ht="21" x14ac:dyDescent="0.35">
      <c r="B5" s="1" t="s">
        <v>3</v>
      </c>
      <c r="C5" s="1"/>
      <c r="D5" s="1"/>
      <c r="E5" s="1"/>
      <c r="F5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9E8F-2FFF-4331-BF40-E6FFDC531EEE}">
  <dimension ref="A1:O51"/>
  <sheetViews>
    <sheetView topLeftCell="B12" workbookViewId="0">
      <selection activeCell="I20" sqref="I20"/>
    </sheetView>
  </sheetViews>
  <sheetFormatPr defaultRowHeight="15" x14ac:dyDescent="0.25"/>
  <cols>
    <col min="1" max="1" width="15.28515625" bestFit="1" customWidth="1"/>
    <col min="2" max="3" width="10.7109375" bestFit="1" customWidth="1"/>
    <col min="4" max="4" width="12.7109375" bestFit="1" customWidth="1"/>
    <col min="5" max="5" width="12.7109375" customWidth="1"/>
    <col min="6" max="6" width="11.140625" bestFit="1" customWidth="1"/>
    <col min="7" max="7" width="17" bestFit="1" customWidth="1"/>
    <col min="8" max="8" width="11.28515625" bestFit="1" customWidth="1"/>
    <col min="9" max="9" width="29.28515625" bestFit="1" customWidth="1"/>
    <col min="10" max="10" width="13.140625" bestFit="1" customWidth="1"/>
    <col min="11" max="11" width="11.85546875" bestFit="1" customWidth="1"/>
    <col min="12" max="12" width="10" bestFit="1" customWidth="1"/>
    <col min="13" max="13" width="8" bestFit="1" customWidth="1"/>
    <col min="14" max="14" width="10.7109375" bestFit="1" customWidth="1"/>
    <col min="15" max="15" width="11.7109375" bestFit="1" customWidth="1"/>
    <col min="17" max="17" width="12.5703125" bestFit="1" customWidth="1"/>
    <col min="18" max="18" width="19.140625" bestFit="1" customWidth="1"/>
  </cols>
  <sheetData>
    <row r="1" spans="1:15" x14ac:dyDescent="0.25">
      <c r="A1" s="7" t="s">
        <v>154</v>
      </c>
      <c r="B1" s="7" t="s">
        <v>5</v>
      </c>
      <c r="C1" s="7" t="s">
        <v>155</v>
      </c>
      <c r="D1" s="7" t="s">
        <v>156</v>
      </c>
      <c r="E1" s="7" t="s">
        <v>357</v>
      </c>
      <c r="F1" s="7" t="s">
        <v>157</v>
      </c>
      <c r="G1" s="7" t="s">
        <v>158</v>
      </c>
      <c r="H1" s="7" t="s">
        <v>159</v>
      </c>
      <c r="I1" s="7" t="s">
        <v>160</v>
      </c>
      <c r="J1" s="7" t="s">
        <v>161</v>
      </c>
      <c r="K1" s="7" t="s">
        <v>162</v>
      </c>
      <c r="L1" s="7" t="s">
        <v>11</v>
      </c>
      <c r="M1" s="7" t="s">
        <v>163</v>
      </c>
      <c r="N1" s="7" t="s">
        <v>164</v>
      </c>
      <c r="O1" s="7" t="s">
        <v>165</v>
      </c>
    </row>
    <row r="2" spans="1:15" x14ac:dyDescent="0.25">
      <c r="A2" s="5" t="s">
        <v>166</v>
      </c>
      <c r="B2" s="6">
        <v>41121</v>
      </c>
      <c r="C2" s="6">
        <v>41121</v>
      </c>
      <c r="D2" s="5" t="s">
        <v>167</v>
      </c>
      <c r="E2" s="5" t="s">
        <v>358</v>
      </c>
      <c r="F2" s="5" t="s">
        <v>168</v>
      </c>
      <c r="G2" s="5" t="s">
        <v>169</v>
      </c>
      <c r="H2" s="5" t="s">
        <v>170</v>
      </c>
      <c r="I2" s="5" t="s">
        <v>171</v>
      </c>
      <c r="J2" s="5" t="s">
        <v>172</v>
      </c>
      <c r="K2" s="5" t="s">
        <v>173</v>
      </c>
      <c r="L2" s="5">
        <v>2309.65</v>
      </c>
      <c r="M2" s="5">
        <v>7</v>
      </c>
      <c r="N2" s="5">
        <v>762.18449999999984</v>
      </c>
      <c r="O2" s="5">
        <v>933.57</v>
      </c>
    </row>
    <row r="3" spans="1:15" x14ac:dyDescent="0.25">
      <c r="A3" s="5" t="s">
        <v>174</v>
      </c>
      <c r="B3" s="6">
        <v>41310</v>
      </c>
      <c r="C3" s="6">
        <v>41312</v>
      </c>
      <c r="D3" s="5" t="s">
        <v>175</v>
      </c>
      <c r="E3" s="5" t="s">
        <v>359</v>
      </c>
      <c r="F3" s="5" t="s">
        <v>176</v>
      </c>
      <c r="G3" s="5" t="s">
        <v>177</v>
      </c>
      <c r="H3" s="5" t="s">
        <v>178</v>
      </c>
      <c r="I3" s="5" t="s">
        <v>179</v>
      </c>
      <c r="J3" s="5" t="s">
        <v>180</v>
      </c>
      <c r="K3" s="5" t="s">
        <v>181</v>
      </c>
      <c r="L3" s="5">
        <v>3709.3949999999995</v>
      </c>
      <c r="M3" s="5">
        <v>9</v>
      </c>
      <c r="N3" s="5">
        <v>-288.76499999999999</v>
      </c>
      <c r="O3" s="5">
        <v>923.63</v>
      </c>
    </row>
    <row r="4" spans="1:15" x14ac:dyDescent="0.25">
      <c r="A4" s="5" t="s">
        <v>182</v>
      </c>
      <c r="B4" s="6">
        <v>41564</v>
      </c>
      <c r="C4" s="6">
        <v>41565</v>
      </c>
      <c r="D4" s="5" t="s">
        <v>183</v>
      </c>
      <c r="E4" s="5" t="s">
        <v>360</v>
      </c>
      <c r="F4" s="5" t="s">
        <v>184</v>
      </c>
      <c r="G4" s="5" t="s">
        <v>185</v>
      </c>
      <c r="H4" s="5" t="s">
        <v>170</v>
      </c>
      <c r="I4" s="5" t="s">
        <v>179</v>
      </c>
      <c r="J4" s="5" t="s">
        <v>172</v>
      </c>
      <c r="K4" s="5" t="s">
        <v>186</v>
      </c>
      <c r="L4" s="5">
        <v>5175.1710000000012</v>
      </c>
      <c r="M4" s="5">
        <v>9</v>
      </c>
      <c r="N4" s="5">
        <v>919.97099999999966</v>
      </c>
      <c r="O4" s="5">
        <v>915.49</v>
      </c>
    </row>
    <row r="5" spans="1:15" x14ac:dyDescent="0.25">
      <c r="A5" s="5" t="s">
        <v>187</v>
      </c>
      <c r="B5" s="6">
        <v>41302</v>
      </c>
      <c r="C5" s="6">
        <v>41304</v>
      </c>
      <c r="D5" s="5" t="s">
        <v>183</v>
      </c>
      <c r="E5" s="5" t="s">
        <v>358</v>
      </c>
      <c r="F5" s="5" t="s">
        <v>188</v>
      </c>
      <c r="G5" s="5" t="s">
        <v>189</v>
      </c>
      <c r="H5" s="5" t="s">
        <v>190</v>
      </c>
      <c r="I5" s="5" t="s">
        <v>191</v>
      </c>
      <c r="J5" s="5" t="s">
        <v>172</v>
      </c>
      <c r="K5" s="5" t="s">
        <v>186</v>
      </c>
      <c r="L5" s="5">
        <v>2892.5099999999998</v>
      </c>
      <c r="M5" s="5">
        <v>5</v>
      </c>
      <c r="N5" s="5">
        <v>-96.540000000000049</v>
      </c>
      <c r="O5" s="5">
        <v>910.16</v>
      </c>
    </row>
    <row r="6" spans="1:15" x14ac:dyDescent="0.25">
      <c r="A6" s="5" t="s">
        <v>192</v>
      </c>
      <c r="B6" s="6">
        <v>41583</v>
      </c>
      <c r="C6" s="6">
        <v>41584</v>
      </c>
      <c r="D6" s="5" t="s">
        <v>167</v>
      </c>
      <c r="E6" s="5" t="s">
        <v>358</v>
      </c>
      <c r="F6" s="5" t="s">
        <v>193</v>
      </c>
      <c r="G6" s="5" t="s">
        <v>169</v>
      </c>
      <c r="H6" s="5" t="s">
        <v>170</v>
      </c>
      <c r="I6" s="5" t="s">
        <v>194</v>
      </c>
      <c r="J6" s="5" t="s">
        <v>172</v>
      </c>
      <c r="K6" s="5" t="s">
        <v>195</v>
      </c>
      <c r="L6" s="5">
        <v>2832.96</v>
      </c>
      <c r="M6" s="5">
        <v>8</v>
      </c>
      <c r="N6" s="5">
        <v>311.52</v>
      </c>
      <c r="O6" s="5">
        <v>903.04</v>
      </c>
    </row>
    <row r="7" spans="1:15" x14ac:dyDescent="0.25">
      <c r="A7" s="5" t="s">
        <v>196</v>
      </c>
      <c r="B7" s="6">
        <v>41453</v>
      </c>
      <c r="C7" s="6">
        <v>41456</v>
      </c>
      <c r="D7" s="5" t="s">
        <v>175</v>
      </c>
      <c r="E7" s="5" t="s">
        <v>358</v>
      </c>
      <c r="F7" s="5" t="s">
        <v>197</v>
      </c>
      <c r="G7" s="5" t="s">
        <v>198</v>
      </c>
      <c r="H7" s="5" t="s">
        <v>178</v>
      </c>
      <c r="I7" s="5" t="s">
        <v>179</v>
      </c>
      <c r="J7" s="5" t="s">
        <v>172</v>
      </c>
      <c r="K7" s="5" t="s">
        <v>186</v>
      </c>
      <c r="L7" s="5">
        <v>2862.6750000000002</v>
      </c>
      <c r="M7" s="5">
        <v>5</v>
      </c>
      <c r="N7" s="5">
        <v>763.27500000000009</v>
      </c>
      <c r="O7" s="5">
        <v>897.35</v>
      </c>
    </row>
    <row r="8" spans="1:15" x14ac:dyDescent="0.25">
      <c r="A8" s="5" t="s">
        <v>199</v>
      </c>
      <c r="B8" s="6">
        <v>40854</v>
      </c>
      <c r="C8" s="6">
        <v>40856</v>
      </c>
      <c r="D8" s="5" t="s">
        <v>183</v>
      </c>
      <c r="E8" s="5" t="s">
        <v>358</v>
      </c>
      <c r="F8" s="5" t="s">
        <v>200</v>
      </c>
      <c r="G8" s="5" t="s">
        <v>201</v>
      </c>
      <c r="H8" s="5" t="s">
        <v>170</v>
      </c>
      <c r="I8" s="5" t="s">
        <v>202</v>
      </c>
      <c r="J8" s="5" t="s">
        <v>180</v>
      </c>
      <c r="K8" s="5" t="s">
        <v>181</v>
      </c>
      <c r="L8" s="5">
        <v>1822.0799999999997</v>
      </c>
      <c r="M8" s="5">
        <v>4</v>
      </c>
      <c r="N8" s="5">
        <v>564.84</v>
      </c>
      <c r="O8" s="5">
        <v>894.77</v>
      </c>
    </row>
    <row r="9" spans="1:15" x14ac:dyDescent="0.25">
      <c r="A9" s="5" t="s">
        <v>203</v>
      </c>
      <c r="B9" s="6">
        <v>41013</v>
      </c>
      <c r="C9" s="6">
        <v>41017</v>
      </c>
      <c r="D9" s="5" t="s">
        <v>204</v>
      </c>
      <c r="E9" s="5" t="s">
        <v>359</v>
      </c>
      <c r="F9" s="5" t="s">
        <v>205</v>
      </c>
      <c r="G9" s="5" t="s">
        <v>206</v>
      </c>
      <c r="H9" s="5" t="s">
        <v>170</v>
      </c>
      <c r="I9" s="5" t="s">
        <v>202</v>
      </c>
      <c r="J9" s="5" t="s">
        <v>180</v>
      </c>
      <c r="K9" s="5" t="s">
        <v>207</v>
      </c>
      <c r="L9" s="5">
        <v>5244.84</v>
      </c>
      <c r="M9" s="5">
        <v>6</v>
      </c>
      <c r="N9" s="5">
        <v>996.4799999999999</v>
      </c>
      <c r="O9" s="5">
        <v>878.38</v>
      </c>
    </row>
    <row r="10" spans="1:15" x14ac:dyDescent="0.25">
      <c r="A10" s="5" t="s">
        <v>208</v>
      </c>
      <c r="B10" s="6">
        <v>41926</v>
      </c>
      <c r="C10" s="6">
        <v>41933</v>
      </c>
      <c r="D10" s="5" t="s">
        <v>204</v>
      </c>
      <c r="E10" s="5" t="s">
        <v>360</v>
      </c>
      <c r="F10" s="5" t="s">
        <v>209</v>
      </c>
      <c r="G10" s="5" t="s">
        <v>210</v>
      </c>
      <c r="H10" s="5" t="s">
        <v>178</v>
      </c>
      <c r="I10" s="5" t="s">
        <v>171</v>
      </c>
      <c r="J10" s="5" t="s">
        <v>211</v>
      </c>
      <c r="K10" s="5" t="s">
        <v>212</v>
      </c>
      <c r="L10" s="5">
        <v>5083.96</v>
      </c>
      <c r="M10" s="5">
        <v>5</v>
      </c>
      <c r="N10" s="5">
        <v>1906.4849999999999</v>
      </c>
      <c r="O10" s="5">
        <v>867.69</v>
      </c>
    </row>
    <row r="11" spans="1:15" x14ac:dyDescent="0.25">
      <c r="A11" s="5" t="s">
        <v>213</v>
      </c>
      <c r="B11" s="6">
        <v>40936</v>
      </c>
      <c r="C11" s="6">
        <v>40939</v>
      </c>
      <c r="D11" s="5" t="s">
        <v>175</v>
      </c>
      <c r="E11" s="5" t="s">
        <v>358</v>
      </c>
      <c r="F11" s="5" t="s">
        <v>214</v>
      </c>
      <c r="G11" s="5" t="s">
        <v>215</v>
      </c>
      <c r="H11" s="5" t="s">
        <v>170</v>
      </c>
      <c r="I11" s="5" t="s">
        <v>171</v>
      </c>
      <c r="J11" s="5" t="s">
        <v>180</v>
      </c>
      <c r="K11" s="5" t="s">
        <v>207</v>
      </c>
      <c r="L11" s="5">
        <v>4297.6440000000002</v>
      </c>
      <c r="M11" s="5">
        <v>13</v>
      </c>
      <c r="N11" s="5">
        <v>-1862.3124000000003</v>
      </c>
      <c r="O11" s="5">
        <v>865.74</v>
      </c>
    </row>
    <row r="12" spans="1:15" x14ac:dyDescent="0.25">
      <c r="A12" s="5" t="s">
        <v>216</v>
      </c>
      <c r="B12" s="6">
        <v>40638</v>
      </c>
      <c r="C12" s="6">
        <v>40642</v>
      </c>
      <c r="D12" s="5" t="s">
        <v>175</v>
      </c>
      <c r="E12" s="5" t="s">
        <v>359</v>
      </c>
      <c r="F12" s="5" t="s">
        <v>217</v>
      </c>
      <c r="G12" s="5" t="s">
        <v>218</v>
      </c>
      <c r="H12" s="5" t="s">
        <v>178</v>
      </c>
      <c r="I12" s="5" t="s">
        <v>171</v>
      </c>
      <c r="J12" s="5" t="s">
        <v>211</v>
      </c>
      <c r="K12" s="5" t="s">
        <v>219</v>
      </c>
      <c r="L12" s="5">
        <v>4164.0499999999993</v>
      </c>
      <c r="M12" s="5">
        <v>5</v>
      </c>
      <c r="N12" s="5">
        <v>83.281000000000063</v>
      </c>
      <c r="O12" s="5">
        <v>846.54</v>
      </c>
    </row>
    <row r="13" spans="1:15" x14ac:dyDescent="0.25">
      <c r="A13" s="5" t="s">
        <v>220</v>
      </c>
      <c r="B13" s="6">
        <v>41018</v>
      </c>
      <c r="C13" s="6">
        <v>41021</v>
      </c>
      <c r="D13" s="5" t="s">
        <v>183</v>
      </c>
      <c r="E13" s="5" t="s">
        <v>359</v>
      </c>
      <c r="F13" s="5" t="s">
        <v>221</v>
      </c>
      <c r="G13" s="5" t="s">
        <v>222</v>
      </c>
      <c r="H13" s="5" t="s">
        <v>178</v>
      </c>
      <c r="I13" s="5" t="s">
        <v>223</v>
      </c>
      <c r="J13" s="5" t="s">
        <v>180</v>
      </c>
      <c r="K13" s="5" t="s">
        <v>207</v>
      </c>
      <c r="L13" s="5">
        <v>4626.1499999999996</v>
      </c>
      <c r="M13" s="5">
        <v>5</v>
      </c>
      <c r="N13" s="5">
        <v>647.54999999999995</v>
      </c>
      <c r="O13" s="5">
        <v>835.57</v>
      </c>
    </row>
    <row r="14" spans="1:15" x14ac:dyDescent="0.25">
      <c r="A14" s="5" t="s">
        <v>224</v>
      </c>
      <c r="B14" s="6">
        <v>40904</v>
      </c>
      <c r="C14" s="6">
        <v>40906</v>
      </c>
      <c r="D14" s="5" t="s">
        <v>175</v>
      </c>
      <c r="E14" s="5" t="s">
        <v>358</v>
      </c>
      <c r="F14" s="5" t="s">
        <v>225</v>
      </c>
      <c r="G14" s="5" t="s">
        <v>226</v>
      </c>
      <c r="H14" s="5" t="s">
        <v>170</v>
      </c>
      <c r="I14" s="5" t="s">
        <v>227</v>
      </c>
      <c r="J14" s="5" t="s">
        <v>172</v>
      </c>
      <c r="K14" s="5" t="s">
        <v>186</v>
      </c>
      <c r="L14" s="5">
        <v>2616.96</v>
      </c>
      <c r="M14" s="5">
        <v>4</v>
      </c>
      <c r="N14" s="5">
        <v>1151.4000000000001</v>
      </c>
      <c r="O14" s="5">
        <v>832.41</v>
      </c>
    </row>
    <row r="15" spans="1:15" x14ac:dyDescent="0.25">
      <c r="A15" s="5" t="s">
        <v>228</v>
      </c>
      <c r="B15" s="6">
        <v>41226</v>
      </c>
      <c r="C15" s="6">
        <v>41226</v>
      </c>
      <c r="D15" s="5" t="s">
        <v>167</v>
      </c>
      <c r="E15" s="5" t="s">
        <v>359</v>
      </c>
      <c r="F15" s="5" t="s">
        <v>229</v>
      </c>
      <c r="G15" s="5" t="s">
        <v>230</v>
      </c>
      <c r="H15" s="5" t="s">
        <v>190</v>
      </c>
      <c r="I15" s="5" t="s">
        <v>231</v>
      </c>
      <c r="J15" s="5" t="s">
        <v>180</v>
      </c>
      <c r="K15" s="5" t="s">
        <v>181</v>
      </c>
      <c r="L15" s="5">
        <v>2221.8000000000002</v>
      </c>
      <c r="M15" s="5">
        <v>7</v>
      </c>
      <c r="N15" s="5">
        <v>622.02</v>
      </c>
      <c r="O15" s="5">
        <v>810.25</v>
      </c>
    </row>
    <row r="16" spans="1:15" x14ac:dyDescent="0.25">
      <c r="A16" s="5" t="s">
        <v>232</v>
      </c>
      <c r="B16" s="6">
        <v>41431</v>
      </c>
      <c r="C16" s="6">
        <v>41433</v>
      </c>
      <c r="D16" s="5" t="s">
        <v>175</v>
      </c>
      <c r="E16" s="5" t="s">
        <v>360</v>
      </c>
      <c r="F16" s="5" t="s">
        <v>233</v>
      </c>
      <c r="G16" s="5" t="s">
        <v>234</v>
      </c>
      <c r="H16" s="5" t="s">
        <v>170</v>
      </c>
      <c r="I16" s="5" t="s">
        <v>235</v>
      </c>
      <c r="J16" s="5" t="s">
        <v>211</v>
      </c>
      <c r="K16" s="5" t="s">
        <v>236</v>
      </c>
      <c r="L16" s="5">
        <v>3701.5199999999995</v>
      </c>
      <c r="M16" s="5">
        <v>12</v>
      </c>
      <c r="N16" s="5">
        <v>1036.08</v>
      </c>
      <c r="O16" s="5">
        <v>804.54</v>
      </c>
    </row>
    <row r="17" spans="1:15" x14ac:dyDescent="0.25">
      <c r="A17" s="5" t="s">
        <v>237</v>
      </c>
      <c r="B17" s="6">
        <v>41851</v>
      </c>
      <c r="C17" s="6">
        <v>41854</v>
      </c>
      <c r="D17" s="5" t="s">
        <v>175</v>
      </c>
      <c r="E17" s="5" t="s">
        <v>358</v>
      </c>
      <c r="F17" s="5" t="s">
        <v>238</v>
      </c>
      <c r="G17" s="5" t="s">
        <v>239</v>
      </c>
      <c r="H17" s="5" t="s">
        <v>178</v>
      </c>
      <c r="I17" s="5" t="s">
        <v>240</v>
      </c>
      <c r="J17" s="5" t="s">
        <v>211</v>
      </c>
      <c r="K17" s="5" t="s">
        <v>236</v>
      </c>
      <c r="L17" s="5">
        <v>1869.5879999999997</v>
      </c>
      <c r="M17" s="5">
        <v>4</v>
      </c>
      <c r="N17" s="5">
        <v>186.94800000000004</v>
      </c>
      <c r="O17" s="5">
        <v>801.66</v>
      </c>
    </row>
    <row r="18" spans="1:15" x14ac:dyDescent="0.25">
      <c r="A18" s="5" t="s">
        <v>241</v>
      </c>
      <c r="B18" s="6">
        <v>41946</v>
      </c>
      <c r="C18" s="6">
        <v>41949</v>
      </c>
      <c r="D18" s="5" t="s">
        <v>175</v>
      </c>
      <c r="E18" s="5" t="s">
        <v>359</v>
      </c>
      <c r="F18" s="5" t="s">
        <v>242</v>
      </c>
      <c r="G18" s="5" t="s">
        <v>243</v>
      </c>
      <c r="H18" s="5" t="s">
        <v>178</v>
      </c>
      <c r="I18" s="5" t="s">
        <v>171</v>
      </c>
      <c r="J18" s="5" t="s">
        <v>172</v>
      </c>
      <c r="K18" s="5" t="s">
        <v>173</v>
      </c>
      <c r="L18" s="5">
        <v>2249.91</v>
      </c>
      <c r="M18" s="5">
        <v>9</v>
      </c>
      <c r="N18" s="5">
        <v>517.47930000000008</v>
      </c>
      <c r="O18" s="5">
        <v>780.7</v>
      </c>
    </row>
    <row r="19" spans="1:15" x14ac:dyDescent="0.25">
      <c r="A19" s="5" t="s">
        <v>244</v>
      </c>
      <c r="B19" s="6">
        <v>41890</v>
      </c>
      <c r="C19" s="6">
        <v>41896</v>
      </c>
      <c r="D19" s="5" t="s">
        <v>204</v>
      </c>
      <c r="E19" s="5" t="s">
        <v>360</v>
      </c>
      <c r="F19" s="5" t="s">
        <v>245</v>
      </c>
      <c r="G19" s="5" t="s">
        <v>246</v>
      </c>
      <c r="H19" s="5" t="s">
        <v>178</v>
      </c>
      <c r="I19" s="5" t="s">
        <v>247</v>
      </c>
      <c r="J19" s="5" t="s">
        <v>211</v>
      </c>
      <c r="K19" s="5" t="s">
        <v>236</v>
      </c>
      <c r="L19" s="5">
        <v>7958.58</v>
      </c>
      <c r="M19" s="5">
        <v>14</v>
      </c>
      <c r="N19" s="5">
        <v>3979.0799999999995</v>
      </c>
      <c r="O19" s="5">
        <v>778.32</v>
      </c>
    </row>
    <row r="20" spans="1:15" x14ac:dyDescent="0.25">
      <c r="A20" s="5" t="s">
        <v>248</v>
      </c>
      <c r="B20" s="6">
        <v>41670</v>
      </c>
      <c r="C20" s="6">
        <v>41671</v>
      </c>
      <c r="D20" s="5" t="s">
        <v>183</v>
      </c>
      <c r="E20" s="5" t="s">
        <v>358</v>
      </c>
      <c r="F20" s="5" t="s">
        <v>249</v>
      </c>
      <c r="G20" s="5" t="s">
        <v>250</v>
      </c>
      <c r="H20" s="5" t="s">
        <v>178</v>
      </c>
      <c r="I20" s="5" t="s">
        <v>179</v>
      </c>
      <c r="J20" s="5" t="s">
        <v>172</v>
      </c>
      <c r="K20" s="5" t="s">
        <v>195</v>
      </c>
      <c r="L20" s="5">
        <v>2565.5940000000001</v>
      </c>
      <c r="M20" s="5">
        <v>9</v>
      </c>
      <c r="N20" s="5">
        <v>28.40399999999994</v>
      </c>
      <c r="O20" s="5">
        <v>766.93</v>
      </c>
    </row>
    <row r="21" spans="1:15" x14ac:dyDescent="0.25">
      <c r="A21" s="5" t="s">
        <v>251</v>
      </c>
      <c r="B21" s="6">
        <v>41978</v>
      </c>
      <c r="C21" s="6">
        <v>41980</v>
      </c>
      <c r="D21" s="5" t="s">
        <v>175</v>
      </c>
      <c r="E21" s="5" t="s">
        <v>359</v>
      </c>
      <c r="F21" s="5" t="s">
        <v>252</v>
      </c>
      <c r="G21" s="5" t="s">
        <v>253</v>
      </c>
      <c r="H21" s="5" t="s">
        <v>170</v>
      </c>
      <c r="I21" s="5" t="s">
        <v>254</v>
      </c>
      <c r="J21" s="5" t="s">
        <v>211</v>
      </c>
      <c r="K21" s="5" t="s">
        <v>236</v>
      </c>
      <c r="L21" s="5">
        <v>3409.74</v>
      </c>
      <c r="M21" s="5">
        <v>6</v>
      </c>
      <c r="N21" s="5">
        <v>818.28</v>
      </c>
      <c r="O21" s="5">
        <v>763.38</v>
      </c>
    </row>
    <row r="22" spans="1:15" x14ac:dyDescent="0.25">
      <c r="A22" s="5" t="s">
        <v>255</v>
      </c>
      <c r="B22" s="6">
        <v>41129</v>
      </c>
      <c r="C22" s="6">
        <v>41131</v>
      </c>
      <c r="D22" s="5" t="s">
        <v>183</v>
      </c>
      <c r="E22" s="5" t="s">
        <v>360</v>
      </c>
      <c r="F22" s="5" t="s">
        <v>256</v>
      </c>
      <c r="G22" s="5" t="s">
        <v>257</v>
      </c>
      <c r="H22" s="5" t="s">
        <v>178</v>
      </c>
      <c r="I22" s="5" t="s">
        <v>258</v>
      </c>
      <c r="J22" s="5" t="s">
        <v>180</v>
      </c>
      <c r="K22" s="5" t="s">
        <v>207</v>
      </c>
      <c r="L22" s="5">
        <v>1977.7199999999998</v>
      </c>
      <c r="M22" s="5">
        <v>4</v>
      </c>
      <c r="N22" s="5">
        <v>276.84000000000003</v>
      </c>
      <c r="O22" s="5">
        <v>759.47</v>
      </c>
    </row>
    <row r="23" spans="1:15" x14ac:dyDescent="0.25">
      <c r="A23" s="5" t="s">
        <v>259</v>
      </c>
      <c r="B23" s="6">
        <v>40845</v>
      </c>
      <c r="C23" s="6">
        <v>40847</v>
      </c>
      <c r="D23" s="5" t="s">
        <v>183</v>
      </c>
      <c r="E23" s="5" t="s">
        <v>360</v>
      </c>
      <c r="F23" s="5" t="s">
        <v>260</v>
      </c>
      <c r="G23" s="5" t="s">
        <v>261</v>
      </c>
      <c r="H23" s="5" t="s">
        <v>170</v>
      </c>
      <c r="I23" s="5" t="s">
        <v>171</v>
      </c>
      <c r="J23" s="5" t="s">
        <v>172</v>
      </c>
      <c r="K23" s="5" t="s">
        <v>186</v>
      </c>
      <c r="L23" s="5">
        <v>2735.9520000000002</v>
      </c>
      <c r="M23" s="5">
        <v>6</v>
      </c>
      <c r="N23" s="5">
        <v>341.99399999999969</v>
      </c>
      <c r="O23" s="5">
        <v>752.51</v>
      </c>
    </row>
    <row r="24" spans="1:15" x14ac:dyDescent="0.25">
      <c r="A24" s="5" t="s">
        <v>262</v>
      </c>
      <c r="B24" s="6">
        <v>40665</v>
      </c>
      <c r="C24" s="6">
        <v>40666</v>
      </c>
      <c r="D24" s="5" t="s">
        <v>183</v>
      </c>
      <c r="E24" s="5" t="s">
        <v>360</v>
      </c>
      <c r="F24" s="5" t="s">
        <v>263</v>
      </c>
      <c r="G24" s="5" t="s">
        <v>264</v>
      </c>
      <c r="H24" s="5" t="s">
        <v>178</v>
      </c>
      <c r="I24" s="5" t="s">
        <v>235</v>
      </c>
      <c r="J24" s="5" t="s">
        <v>180</v>
      </c>
      <c r="K24" s="5" t="s">
        <v>181</v>
      </c>
      <c r="L24" s="5">
        <v>2753.9999999999991</v>
      </c>
      <c r="M24" s="5">
        <v>6</v>
      </c>
      <c r="N24" s="5">
        <v>358.02</v>
      </c>
      <c r="O24" s="5">
        <v>752.47</v>
      </c>
    </row>
    <row r="25" spans="1:15" x14ac:dyDescent="0.25">
      <c r="A25" s="5" t="s">
        <v>265</v>
      </c>
      <c r="B25" s="6">
        <v>41332</v>
      </c>
      <c r="C25" s="6">
        <v>41334</v>
      </c>
      <c r="D25" s="5" t="s">
        <v>175</v>
      </c>
      <c r="E25" s="5" t="s">
        <v>360</v>
      </c>
      <c r="F25" s="5" t="s">
        <v>266</v>
      </c>
      <c r="G25" s="5" t="s">
        <v>267</v>
      </c>
      <c r="H25" s="5" t="s">
        <v>190</v>
      </c>
      <c r="I25" s="5" t="s">
        <v>268</v>
      </c>
      <c r="J25" s="5" t="s">
        <v>211</v>
      </c>
      <c r="K25" s="5" t="s">
        <v>236</v>
      </c>
      <c r="L25" s="5">
        <v>5273.7</v>
      </c>
      <c r="M25" s="5">
        <v>10</v>
      </c>
      <c r="N25" s="5">
        <v>1898.4</v>
      </c>
      <c r="O25" s="5">
        <v>730.91</v>
      </c>
    </row>
    <row r="26" spans="1:15" x14ac:dyDescent="0.25">
      <c r="A26" s="5" t="s">
        <v>269</v>
      </c>
      <c r="B26" s="6">
        <v>41851</v>
      </c>
      <c r="C26" s="6">
        <v>41852</v>
      </c>
      <c r="D26" s="5" t="s">
        <v>183</v>
      </c>
      <c r="E26" s="5" t="s">
        <v>360</v>
      </c>
      <c r="F26" s="5" t="s">
        <v>270</v>
      </c>
      <c r="G26" s="5" t="s">
        <v>271</v>
      </c>
      <c r="H26" s="5" t="s">
        <v>170</v>
      </c>
      <c r="I26" s="5" t="s">
        <v>272</v>
      </c>
      <c r="J26" s="5" t="s">
        <v>172</v>
      </c>
      <c r="K26" s="5" t="s">
        <v>186</v>
      </c>
      <c r="L26" s="5">
        <v>1713.8400000000001</v>
      </c>
      <c r="M26" s="5">
        <v>4</v>
      </c>
      <c r="N26" s="5">
        <v>445.52</v>
      </c>
      <c r="O26" s="5">
        <v>728.96800000000007</v>
      </c>
    </row>
    <row r="27" spans="1:15" x14ac:dyDescent="0.25">
      <c r="A27" s="5" t="s">
        <v>273</v>
      </c>
      <c r="B27" s="6">
        <v>41887</v>
      </c>
      <c r="C27" s="6">
        <v>41890</v>
      </c>
      <c r="D27" s="5" t="s">
        <v>183</v>
      </c>
      <c r="E27" s="5" t="s">
        <v>360</v>
      </c>
      <c r="F27" s="5" t="s">
        <v>274</v>
      </c>
      <c r="G27" s="5" t="s">
        <v>275</v>
      </c>
      <c r="H27" s="5" t="s">
        <v>170</v>
      </c>
      <c r="I27" s="5" t="s">
        <v>276</v>
      </c>
      <c r="J27" s="5" t="s">
        <v>180</v>
      </c>
      <c r="K27" s="5" t="s">
        <v>207</v>
      </c>
      <c r="L27" s="5">
        <v>2106.4960000000001</v>
      </c>
      <c r="M27" s="5">
        <v>8</v>
      </c>
      <c r="N27" s="5">
        <v>526.49600000000009</v>
      </c>
      <c r="O27" s="5">
        <v>728.38900000000001</v>
      </c>
    </row>
    <row r="28" spans="1:15" x14ac:dyDescent="0.25">
      <c r="A28" s="5" t="s">
        <v>277</v>
      </c>
      <c r="B28" s="6">
        <v>40894</v>
      </c>
      <c r="C28" s="6">
        <v>40897</v>
      </c>
      <c r="D28" s="5" t="s">
        <v>183</v>
      </c>
      <c r="E28" s="5" t="s">
        <v>360</v>
      </c>
      <c r="F28" s="5" t="s">
        <v>278</v>
      </c>
      <c r="G28" s="5" t="s">
        <v>279</v>
      </c>
      <c r="H28" s="5" t="s">
        <v>178</v>
      </c>
      <c r="I28" s="5" t="s">
        <v>280</v>
      </c>
      <c r="J28" s="5" t="s">
        <v>180</v>
      </c>
      <c r="K28" s="5" t="s">
        <v>207</v>
      </c>
      <c r="L28" s="5">
        <v>1715.1599999999999</v>
      </c>
      <c r="M28" s="5">
        <v>2</v>
      </c>
      <c r="N28" s="5">
        <v>720.36</v>
      </c>
      <c r="O28" s="5">
        <v>725.57</v>
      </c>
    </row>
    <row r="29" spans="1:15" x14ac:dyDescent="0.25">
      <c r="A29" s="5" t="s">
        <v>281</v>
      </c>
      <c r="B29" s="6">
        <v>40616</v>
      </c>
      <c r="C29" s="6">
        <v>40619</v>
      </c>
      <c r="D29" s="5" t="s">
        <v>175</v>
      </c>
      <c r="E29" s="5" t="s">
        <v>358</v>
      </c>
      <c r="F29" s="5" t="s">
        <v>282</v>
      </c>
      <c r="G29" s="5" t="s">
        <v>283</v>
      </c>
      <c r="H29" s="5" t="s">
        <v>170</v>
      </c>
      <c r="I29" s="5" t="s">
        <v>191</v>
      </c>
      <c r="J29" s="5" t="s">
        <v>211</v>
      </c>
      <c r="K29" s="5" t="s">
        <v>236</v>
      </c>
      <c r="L29" s="5">
        <v>3069.7380000000003</v>
      </c>
      <c r="M29" s="5">
        <v>6</v>
      </c>
      <c r="N29" s="5">
        <v>1364.2379999999996</v>
      </c>
      <c r="O29" s="5">
        <v>725.34</v>
      </c>
    </row>
    <row r="30" spans="1:15" x14ac:dyDescent="0.25">
      <c r="A30" s="5" t="s">
        <v>284</v>
      </c>
      <c r="B30" s="6">
        <v>41344</v>
      </c>
      <c r="C30" s="6">
        <v>41345</v>
      </c>
      <c r="D30" s="5" t="s">
        <v>183</v>
      </c>
      <c r="E30" s="5" t="s">
        <v>359</v>
      </c>
      <c r="F30" s="5" t="s">
        <v>285</v>
      </c>
      <c r="G30" s="5" t="s">
        <v>286</v>
      </c>
      <c r="H30" s="5" t="s">
        <v>190</v>
      </c>
      <c r="I30" s="5" t="s">
        <v>171</v>
      </c>
      <c r="J30" s="5" t="s">
        <v>172</v>
      </c>
      <c r="K30" s="5" t="s">
        <v>186</v>
      </c>
      <c r="L30" s="5">
        <v>4158.9120000000003</v>
      </c>
      <c r="M30" s="5">
        <v>8</v>
      </c>
      <c r="N30" s="5">
        <v>363.90480000000025</v>
      </c>
      <c r="O30" s="5">
        <v>714.66</v>
      </c>
    </row>
    <row r="31" spans="1:15" x14ac:dyDescent="0.25">
      <c r="A31" s="5" t="s">
        <v>287</v>
      </c>
      <c r="B31" s="6">
        <v>40964</v>
      </c>
      <c r="C31" s="6">
        <v>40964</v>
      </c>
      <c r="D31" s="5" t="s">
        <v>167</v>
      </c>
      <c r="E31" s="5" t="s">
        <v>360</v>
      </c>
      <c r="F31" s="5" t="s">
        <v>288</v>
      </c>
      <c r="G31" s="5" t="s">
        <v>289</v>
      </c>
      <c r="H31" s="5" t="s">
        <v>170</v>
      </c>
      <c r="I31" s="5" t="s">
        <v>290</v>
      </c>
      <c r="J31" s="5" t="s">
        <v>180</v>
      </c>
      <c r="K31" s="5" t="s">
        <v>181</v>
      </c>
      <c r="L31" s="5">
        <v>1878.7199999999998</v>
      </c>
      <c r="M31" s="5">
        <v>4</v>
      </c>
      <c r="N31" s="5">
        <v>582.36</v>
      </c>
      <c r="O31" s="5">
        <v>704.08</v>
      </c>
    </row>
    <row r="32" spans="1:15" x14ac:dyDescent="0.25">
      <c r="A32" s="5" t="s">
        <v>291</v>
      </c>
      <c r="B32" s="6">
        <v>40905</v>
      </c>
      <c r="C32" s="6">
        <v>40907</v>
      </c>
      <c r="D32" s="5" t="s">
        <v>175</v>
      </c>
      <c r="E32" s="5" t="s">
        <v>358</v>
      </c>
      <c r="F32" s="5" t="s">
        <v>292</v>
      </c>
      <c r="G32" s="5" t="s">
        <v>293</v>
      </c>
      <c r="H32" s="5" t="s">
        <v>178</v>
      </c>
      <c r="I32" s="5" t="s">
        <v>294</v>
      </c>
      <c r="J32" s="5" t="s">
        <v>172</v>
      </c>
      <c r="K32" s="5" t="s">
        <v>186</v>
      </c>
      <c r="L32" s="5">
        <v>1696.64</v>
      </c>
      <c r="M32" s="5">
        <v>5</v>
      </c>
      <c r="N32" s="5">
        <v>-148.46000000000004</v>
      </c>
      <c r="O32" s="5">
        <v>704.05600000000004</v>
      </c>
    </row>
    <row r="33" spans="1:15" x14ac:dyDescent="0.25">
      <c r="A33" s="5" t="s">
        <v>295</v>
      </c>
      <c r="B33" s="6">
        <v>41107</v>
      </c>
      <c r="C33" s="6">
        <v>41109</v>
      </c>
      <c r="D33" s="5" t="s">
        <v>183</v>
      </c>
      <c r="E33" s="5" t="s">
        <v>358</v>
      </c>
      <c r="F33" s="5" t="s">
        <v>296</v>
      </c>
      <c r="G33" s="5" t="s">
        <v>297</v>
      </c>
      <c r="H33" s="5" t="s">
        <v>178</v>
      </c>
      <c r="I33" s="5" t="s">
        <v>240</v>
      </c>
      <c r="J33" s="5" t="s">
        <v>172</v>
      </c>
      <c r="K33" s="5" t="s">
        <v>298</v>
      </c>
      <c r="L33" s="5">
        <v>2402.8650000000002</v>
      </c>
      <c r="M33" s="5">
        <v>9</v>
      </c>
      <c r="N33" s="5">
        <v>763.15499999999997</v>
      </c>
      <c r="O33" s="5">
        <v>699.55</v>
      </c>
    </row>
    <row r="34" spans="1:15" x14ac:dyDescent="0.25">
      <c r="A34" s="5" t="s">
        <v>299</v>
      </c>
      <c r="B34" s="6">
        <v>41197</v>
      </c>
      <c r="C34" s="6">
        <v>41197</v>
      </c>
      <c r="D34" s="5" t="s">
        <v>167</v>
      </c>
      <c r="E34" s="5" t="s">
        <v>358</v>
      </c>
      <c r="F34" s="5" t="s">
        <v>300</v>
      </c>
      <c r="G34" s="5" t="s">
        <v>301</v>
      </c>
      <c r="H34" s="5" t="s">
        <v>170</v>
      </c>
      <c r="I34" s="5" t="s">
        <v>171</v>
      </c>
      <c r="J34" s="5" t="s">
        <v>180</v>
      </c>
      <c r="K34" s="5" t="s">
        <v>181</v>
      </c>
      <c r="L34" s="5">
        <v>2453.4299999999998</v>
      </c>
      <c r="M34" s="5">
        <v>5</v>
      </c>
      <c r="N34" s="5">
        <v>-350.4899999999999</v>
      </c>
      <c r="O34" s="5">
        <v>690.42</v>
      </c>
    </row>
    <row r="35" spans="1:15" x14ac:dyDescent="0.25">
      <c r="A35" s="5" t="s">
        <v>302</v>
      </c>
      <c r="B35" s="6">
        <v>40850</v>
      </c>
      <c r="C35" s="6">
        <v>40852</v>
      </c>
      <c r="D35" s="5" t="s">
        <v>175</v>
      </c>
      <c r="E35" s="5" t="s">
        <v>358</v>
      </c>
      <c r="F35" s="5" t="s">
        <v>303</v>
      </c>
      <c r="G35" s="5" t="s">
        <v>304</v>
      </c>
      <c r="H35" s="5" t="s">
        <v>178</v>
      </c>
      <c r="I35" s="5" t="s">
        <v>179</v>
      </c>
      <c r="J35" s="5" t="s">
        <v>211</v>
      </c>
      <c r="K35" s="5" t="s">
        <v>236</v>
      </c>
      <c r="L35" s="5">
        <v>2526.9299999999998</v>
      </c>
      <c r="M35" s="5">
        <v>5</v>
      </c>
      <c r="N35" s="5">
        <v>561.48</v>
      </c>
      <c r="O35" s="5">
        <v>689.8</v>
      </c>
    </row>
    <row r="36" spans="1:15" x14ac:dyDescent="0.25">
      <c r="A36" s="5" t="s">
        <v>305</v>
      </c>
      <c r="B36" s="6">
        <v>40889</v>
      </c>
      <c r="C36" s="6">
        <v>40891</v>
      </c>
      <c r="D36" s="5" t="s">
        <v>175</v>
      </c>
      <c r="E36" s="5" t="s">
        <v>358</v>
      </c>
      <c r="F36" s="5" t="s">
        <v>306</v>
      </c>
      <c r="G36" s="5" t="s">
        <v>307</v>
      </c>
      <c r="H36" s="5" t="s">
        <v>170</v>
      </c>
      <c r="I36" s="5" t="s">
        <v>171</v>
      </c>
      <c r="J36" s="5" t="s">
        <v>180</v>
      </c>
      <c r="K36" s="5" t="s">
        <v>207</v>
      </c>
      <c r="L36" s="5">
        <v>3610.848</v>
      </c>
      <c r="M36" s="5">
        <v>12</v>
      </c>
      <c r="N36" s="5">
        <v>135.4068000000002</v>
      </c>
      <c r="O36" s="5">
        <v>683.12</v>
      </c>
    </row>
    <row r="37" spans="1:15" x14ac:dyDescent="0.25">
      <c r="A37" s="5" t="s">
        <v>308</v>
      </c>
      <c r="B37" s="6">
        <v>40800</v>
      </c>
      <c r="C37" s="6">
        <v>40801</v>
      </c>
      <c r="D37" s="5" t="s">
        <v>183</v>
      </c>
      <c r="E37" s="5" t="s">
        <v>358</v>
      </c>
      <c r="F37" s="5" t="s">
        <v>309</v>
      </c>
      <c r="G37" s="5" t="s">
        <v>310</v>
      </c>
      <c r="H37" s="5" t="s">
        <v>178</v>
      </c>
      <c r="I37" s="5" t="s">
        <v>311</v>
      </c>
      <c r="J37" s="5" t="s">
        <v>172</v>
      </c>
      <c r="K37" s="5" t="s">
        <v>186</v>
      </c>
      <c r="L37" s="5">
        <v>3817.26</v>
      </c>
      <c r="M37" s="5">
        <v>6</v>
      </c>
      <c r="N37" s="5">
        <v>1068.6599999999999</v>
      </c>
      <c r="O37" s="5">
        <v>678.15</v>
      </c>
    </row>
    <row r="38" spans="1:15" x14ac:dyDescent="0.25">
      <c r="A38" s="5" t="s">
        <v>312</v>
      </c>
      <c r="B38" s="6">
        <v>40800</v>
      </c>
      <c r="C38" s="6">
        <v>40800</v>
      </c>
      <c r="D38" s="5" t="s">
        <v>167</v>
      </c>
      <c r="E38" s="5" t="s">
        <v>358</v>
      </c>
      <c r="F38" s="5" t="s">
        <v>313</v>
      </c>
      <c r="G38" s="5" t="s">
        <v>314</v>
      </c>
      <c r="H38" s="5" t="s">
        <v>170</v>
      </c>
      <c r="I38" s="5" t="s">
        <v>171</v>
      </c>
      <c r="J38" s="5" t="s">
        <v>172</v>
      </c>
      <c r="K38" s="5" t="s">
        <v>298</v>
      </c>
      <c r="L38" s="5">
        <v>2799.96</v>
      </c>
      <c r="M38" s="5">
        <v>4</v>
      </c>
      <c r="N38" s="5">
        <v>1371.9803999999999</v>
      </c>
      <c r="O38" s="5">
        <v>675.15</v>
      </c>
    </row>
    <row r="39" spans="1:15" x14ac:dyDescent="0.25">
      <c r="A39" s="5" t="s">
        <v>315</v>
      </c>
      <c r="B39" s="6">
        <v>41948</v>
      </c>
      <c r="C39" s="6">
        <v>41948</v>
      </c>
      <c r="D39" s="5" t="s">
        <v>167</v>
      </c>
      <c r="E39" s="5" t="s">
        <v>358</v>
      </c>
      <c r="F39" s="5" t="s">
        <v>316</v>
      </c>
      <c r="G39" s="5" t="s">
        <v>317</v>
      </c>
      <c r="H39" s="5" t="s">
        <v>178</v>
      </c>
      <c r="I39" s="5" t="s">
        <v>171</v>
      </c>
      <c r="J39" s="5" t="s">
        <v>172</v>
      </c>
      <c r="K39" s="5" t="s">
        <v>298</v>
      </c>
      <c r="L39" s="5">
        <v>7999.98</v>
      </c>
      <c r="M39" s="5">
        <v>4</v>
      </c>
      <c r="N39" s="5">
        <v>-3839.9903999999988</v>
      </c>
      <c r="O39" s="5">
        <v>674.82</v>
      </c>
    </row>
    <row r="40" spans="1:15" x14ac:dyDescent="0.25">
      <c r="A40" s="5" t="s">
        <v>318</v>
      </c>
      <c r="B40" s="6">
        <v>41653</v>
      </c>
      <c r="C40" s="6">
        <v>41657</v>
      </c>
      <c r="D40" s="5" t="s">
        <v>204</v>
      </c>
      <c r="E40" s="5" t="s">
        <v>358</v>
      </c>
      <c r="F40" s="5" t="s">
        <v>319</v>
      </c>
      <c r="G40" s="5" t="s">
        <v>320</v>
      </c>
      <c r="H40" s="5" t="s">
        <v>170</v>
      </c>
      <c r="I40" s="5" t="s">
        <v>268</v>
      </c>
      <c r="J40" s="5" t="s">
        <v>172</v>
      </c>
      <c r="K40" s="5" t="s">
        <v>195</v>
      </c>
      <c r="L40" s="5">
        <v>4141.0200000000004</v>
      </c>
      <c r="M40" s="5">
        <v>13</v>
      </c>
      <c r="N40" s="5">
        <v>1697.67</v>
      </c>
      <c r="O40" s="5">
        <v>668.96</v>
      </c>
    </row>
    <row r="41" spans="1:15" x14ac:dyDescent="0.25">
      <c r="A41" s="5" t="s">
        <v>321</v>
      </c>
      <c r="B41" s="6">
        <v>40553</v>
      </c>
      <c r="C41" s="6">
        <v>40554</v>
      </c>
      <c r="D41" s="5" t="s">
        <v>183</v>
      </c>
      <c r="E41" s="5" t="s">
        <v>358</v>
      </c>
      <c r="F41" s="5" t="s">
        <v>322</v>
      </c>
      <c r="G41" s="5" t="s">
        <v>323</v>
      </c>
      <c r="H41" s="5" t="s">
        <v>170</v>
      </c>
      <c r="I41" s="5" t="s">
        <v>179</v>
      </c>
      <c r="J41" s="5" t="s">
        <v>172</v>
      </c>
      <c r="K41" s="5" t="s">
        <v>186</v>
      </c>
      <c r="L41" s="5">
        <v>2875.0950000000007</v>
      </c>
      <c r="M41" s="5">
        <v>5</v>
      </c>
      <c r="N41" s="5">
        <v>511.09499999999991</v>
      </c>
      <c r="O41" s="5">
        <v>665.27</v>
      </c>
    </row>
    <row r="42" spans="1:15" x14ac:dyDescent="0.25">
      <c r="A42" s="5" t="s">
        <v>324</v>
      </c>
      <c r="B42" s="6">
        <v>41508</v>
      </c>
      <c r="C42" s="6">
        <v>41512</v>
      </c>
      <c r="D42" s="5" t="s">
        <v>204</v>
      </c>
      <c r="E42" s="5" t="s">
        <v>358</v>
      </c>
      <c r="F42" s="5" t="s">
        <v>325</v>
      </c>
      <c r="G42" s="5" t="s">
        <v>326</v>
      </c>
      <c r="H42" s="5" t="s">
        <v>170</v>
      </c>
      <c r="I42" s="5" t="s">
        <v>327</v>
      </c>
      <c r="J42" s="5" t="s">
        <v>172</v>
      </c>
      <c r="K42" s="5" t="s">
        <v>186</v>
      </c>
      <c r="L42" s="5">
        <v>3200.5962</v>
      </c>
      <c r="M42" s="5">
        <v>6</v>
      </c>
      <c r="N42" s="5">
        <v>-77.203799999999887</v>
      </c>
      <c r="O42" s="5">
        <v>660.87</v>
      </c>
    </row>
    <row r="43" spans="1:15" x14ac:dyDescent="0.25">
      <c r="A43" s="5" t="s">
        <v>328</v>
      </c>
      <c r="B43" s="6">
        <v>41954</v>
      </c>
      <c r="C43" s="6">
        <v>41958</v>
      </c>
      <c r="D43" s="5" t="s">
        <v>204</v>
      </c>
      <c r="E43" s="5" t="s">
        <v>358</v>
      </c>
      <c r="F43" s="5" t="s">
        <v>329</v>
      </c>
      <c r="G43" s="5" t="s">
        <v>330</v>
      </c>
      <c r="H43" s="5" t="s">
        <v>190</v>
      </c>
      <c r="I43" s="5" t="s">
        <v>290</v>
      </c>
      <c r="J43" s="5" t="s">
        <v>172</v>
      </c>
      <c r="K43" s="5" t="s">
        <v>186</v>
      </c>
      <c r="L43" s="5">
        <v>4518.78</v>
      </c>
      <c r="M43" s="5">
        <v>7</v>
      </c>
      <c r="N43" s="5">
        <v>632.52</v>
      </c>
      <c r="O43" s="5">
        <v>658.69</v>
      </c>
    </row>
    <row r="44" spans="1:15" x14ac:dyDescent="0.25">
      <c r="A44" s="5" t="s">
        <v>331</v>
      </c>
      <c r="B44" s="6">
        <v>41908</v>
      </c>
      <c r="C44" s="6">
        <v>41910</v>
      </c>
      <c r="D44" s="5" t="s">
        <v>175</v>
      </c>
      <c r="E44" s="5" t="s">
        <v>358</v>
      </c>
      <c r="F44" s="5" t="s">
        <v>332</v>
      </c>
      <c r="G44" s="5" t="s">
        <v>333</v>
      </c>
      <c r="H44" s="5" t="s">
        <v>178</v>
      </c>
      <c r="I44" s="5" t="s">
        <v>290</v>
      </c>
      <c r="J44" s="5" t="s">
        <v>180</v>
      </c>
      <c r="K44" s="5" t="s">
        <v>334</v>
      </c>
      <c r="L44" s="5">
        <v>5667.87</v>
      </c>
      <c r="M44" s="5">
        <v>13</v>
      </c>
      <c r="N44" s="5">
        <v>2097.0300000000002</v>
      </c>
      <c r="O44" s="5">
        <v>658.35</v>
      </c>
    </row>
    <row r="45" spans="1:15" x14ac:dyDescent="0.25">
      <c r="A45" s="5" t="s">
        <v>335</v>
      </c>
      <c r="B45" s="6">
        <v>41256</v>
      </c>
      <c r="C45" s="6">
        <v>41260</v>
      </c>
      <c r="D45" s="5" t="s">
        <v>204</v>
      </c>
      <c r="E45" s="5" t="s">
        <v>358</v>
      </c>
      <c r="F45" s="5" t="s">
        <v>336</v>
      </c>
      <c r="G45" s="5" t="s">
        <v>337</v>
      </c>
      <c r="H45" s="5" t="s">
        <v>170</v>
      </c>
      <c r="I45" s="5" t="s">
        <v>268</v>
      </c>
      <c r="J45" s="5" t="s">
        <v>172</v>
      </c>
      <c r="K45" s="5" t="s">
        <v>186</v>
      </c>
      <c r="L45" s="5">
        <v>5785.0199999999995</v>
      </c>
      <c r="M45" s="5">
        <v>9</v>
      </c>
      <c r="N45" s="5">
        <v>404.73</v>
      </c>
      <c r="O45" s="5">
        <v>656.73</v>
      </c>
    </row>
    <row r="46" spans="1:15" x14ac:dyDescent="0.25">
      <c r="A46" s="5" t="s">
        <v>338</v>
      </c>
      <c r="B46" s="6">
        <v>40809</v>
      </c>
      <c r="C46" s="6">
        <v>40811</v>
      </c>
      <c r="D46" s="5" t="s">
        <v>183</v>
      </c>
      <c r="E46" s="5" t="s">
        <v>358</v>
      </c>
      <c r="F46" s="5" t="s">
        <v>339</v>
      </c>
      <c r="G46" s="5" t="s">
        <v>340</v>
      </c>
      <c r="H46" s="5" t="s">
        <v>170</v>
      </c>
      <c r="I46" s="5" t="s">
        <v>191</v>
      </c>
      <c r="J46" s="5" t="s">
        <v>211</v>
      </c>
      <c r="K46" s="5" t="s">
        <v>236</v>
      </c>
      <c r="L46" s="5">
        <v>3018.6239999999998</v>
      </c>
      <c r="M46" s="5">
        <v>7</v>
      </c>
      <c r="N46" s="5">
        <v>377.24399999999991</v>
      </c>
      <c r="O46" s="5">
        <v>655.91</v>
      </c>
    </row>
    <row r="47" spans="1:15" x14ac:dyDescent="0.25">
      <c r="A47" s="5" t="s">
        <v>341</v>
      </c>
      <c r="B47" s="6">
        <v>40809</v>
      </c>
      <c r="C47" s="6">
        <v>40814</v>
      </c>
      <c r="D47" s="5" t="s">
        <v>204</v>
      </c>
      <c r="E47" s="5" t="s">
        <v>358</v>
      </c>
      <c r="F47" s="5" t="s">
        <v>342</v>
      </c>
      <c r="G47" s="5" t="s">
        <v>343</v>
      </c>
      <c r="H47" s="5" t="s">
        <v>170</v>
      </c>
      <c r="I47" s="5" t="s">
        <v>171</v>
      </c>
      <c r="J47" s="5" t="s">
        <v>211</v>
      </c>
      <c r="K47" s="5" t="s">
        <v>212</v>
      </c>
      <c r="L47" s="5">
        <v>9449.9500000000007</v>
      </c>
      <c r="M47" s="5">
        <v>5</v>
      </c>
      <c r="N47" s="5">
        <v>4630.4755000000005</v>
      </c>
      <c r="O47" s="5">
        <v>655.61</v>
      </c>
    </row>
    <row r="48" spans="1:15" x14ac:dyDescent="0.25">
      <c r="A48" s="5" t="s">
        <v>344</v>
      </c>
      <c r="B48" s="6">
        <v>41341</v>
      </c>
      <c r="C48" s="6">
        <v>41341</v>
      </c>
      <c r="D48" s="5" t="s">
        <v>167</v>
      </c>
      <c r="E48" s="5" t="s">
        <v>358</v>
      </c>
      <c r="F48" s="5" t="s">
        <v>345</v>
      </c>
      <c r="G48" s="5" t="s">
        <v>346</v>
      </c>
      <c r="H48" s="5" t="s">
        <v>178</v>
      </c>
      <c r="I48" s="5" t="s">
        <v>240</v>
      </c>
      <c r="J48" s="5" t="s">
        <v>180</v>
      </c>
      <c r="K48" s="5" t="s">
        <v>181</v>
      </c>
      <c r="L48" s="5">
        <v>2092.4999999999995</v>
      </c>
      <c r="M48" s="5">
        <v>5</v>
      </c>
      <c r="N48" s="5">
        <v>720.74999999999989</v>
      </c>
      <c r="O48" s="5">
        <v>652.98</v>
      </c>
    </row>
    <row r="49" spans="1:15" x14ac:dyDescent="0.25">
      <c r="A49" s="5" t="s">
        <v>347</v>
      </c>
      <c r="B49" s="6">
        <v>41879</v>
      </c>
      <c r="C49" s="6">
        <v>41880</v>
      </c>
      <c r="D49" s="5" t="s">
        <v>183</v>
      </c>
      <c r="E49" s="5" t="s">
        <v>360</v>
      </c>
      <c r="F49" s="5" t="s">
        <v>348</v>
      </c>
      <c r="G49" s="5" t="s">
        <v>349</v>
      </c>
      <c r="H49" s="5" t="s">
        <v>170</v>
      </c>
      <c r="I49" s="5" t="s">
        <v>235</v>
      </c>
      <c r="J49" s="5" t="s">
        <v>180</v>
      </c>
      <c r="K49" s="5" t="s">
        <v>181</v>
      </c>
      <c r="L49" s="5">
        <v>2761.2</v>
      </c>
      <c r="M49" s="5">
        <v>6</v>
      </c>
      <c r="N49" s="5">
        <v>110.34</v>
      </c>
      <c r="O49" s="5">
        <v>644.75</v>
      </c>
    </row>
    <row r="50" spans="1:15" x14ac:dyDescent="0.25">
      <c r="A50" s="5" t="s">
        <v>350</v>
      </c>
      <c r="B50" s="6">
        <v>41760</v>
      </c>
      <c r="C50" s="6">
        <v>41760</v>
      </c>
      <c r="D50" s="5" t="s">
        <v>167</v>
      </c>
      <c r="E50" s="5" t="s">
        <v>358</v>
      </c>
      <c r="F50" s="5" t="s">
        <v>351</v>
      </c>
      <c r="G50" s="5" t="s">
        <v>352</v>
      </c>
      <c r="H50" s="5" t="s">
        <v>170</v>
      </c>
      <c r="I50" s="5" t="s">
        <v>290</v>
      </c>
      <c r="J50" s="5" t="s">
        <v>172</v>
      </c>
      <c r="K50" s="5" t="s">
        <v>298</v>
      </c>
      <c r="L50" s="5">
        <v>2174.13</v>
      </c>
      <c r="M50" s="5">
        <v>7</v>
      </c>
      <c r="N50" s="5">
        <v>500.00999999999993</v>
      </c>
      <c r="O50" s="5">
        <v>637.86</v>
      </c>
    </row>
    <row r="51" spans="1:15" x14ac:dyDescent="0.25">
      <c r="A51" s="5" t="s">
        <v>353</v>
      </c>
      <c r="B51" s="6">
        <v>41991</v>
      </c>
      <c r="C51" s="6">
        <v>41993</v>
      </c>
      <c r="D51" s="5" t="s">
        <v>175</v>
      </c>
      <c r="E51" s="5" t="s">
        <v>359</v>
      </c>
      <c r="F51" s="5" t="s">
        <v>354</v>
      </c>
      <c r="G51" s="5" t="s">
        <v>355</v>
      </c>
      <c r="H51" s="5" t="s">
        <v>170</v>
      </c>
      <c r="I51" s="5" t="s">
        <v>356</v>
      </c>
      <c r="J51" s="5" t="s">
        <v>180</v>
      </c>
      <c r="K51" s="5" t="s">
        <v>181</v>
      </c>
      <c r="L51" s="5">
        <v>3473.1399999999994</v>
      </c>
      <c r="M51" s="5">
        <v>11</v>
      </c>
      <c r="N51" s="5">
        <v>868.12000000000012</v>
      </c>
      <c r="O51" s="5">
        <v>634.529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7C23-CEE9-463D-A168-4C0BA5EB5E36}">
  <dimension ref="A1:R51"/>
  <sheetViews>
    <sheetView topLeftCell="M1" workbookViewId="0">
      <selection activeCell="X12" sqref="X12"/>
    </sheetView>
  </sheetViews>
  <sheetFormatPr defaultRowHeight="15" x14ac:dyDescent="0.25"/>
  <cols>
    <col min="1" max="1" width="15.28515625" bestFit="1" customWidth="1"/>
    <col min="2" max="3" width="10.28515625" bestFit="1" customWidth="1"/>
    <col min="4" max="4" width="12.7109375" bestFit="1" customWidth="1"/>
    <col min="5" max="5" width="8.85546875" bestFit="1" customWidth="1"/>
    <col min="6" max="6" width="11.28515625" bestFit="1" customWidth="1"/>
    <col min="7" max="7" width="17" bestFit="1" customWidth="1"/>
    <col min="8" max="8" width="11.28515625" bestFit="1" customWidth="1"/>
    <col min="9" max="9" width="29.28515625" bestFit="1" customWidth="1"/>
    <col min="10" max="10" width="13.140625" bestFit="1" customWidth="1"/>
    <col min="11" max="11" width="12.42578125" bestFit="1" customWidth="1"/>
    <col min="12" max="12" width="10" bestFit="1" customWidth="1"/>
    <col min="13" max="13" width="8.28515625" bestFit="1" customWidth="1"/>
    <col min="14" max="14" width="10.7109375" bestFit="1" customWidth="1"/>
    <col min="15" max="15" width="12.42578125" bestFit="1" customWidth="1"/>
    <col min="17" max="17" width="13.140625" bestFit="1" customWidth="1"/>
    <col min="18" max="18" width="12.140625" bestFit="1" customWidth="1"/>
    <col min="19" max="19" width="9.7109375" bestFit="1" customWidth="1"/>
    <col min="20" max="21" width="8.7109375" bestFit="1" customWidth="1"/>
    <col min="22" max="22" width="9.7109375" bestFit="1" customWidth="1"/>
    <col min="23" max="23" width="10" bestFit="1" customWidth="1"/>
    <col min="24" max="24" width="10.7109375" bestFit="1" customWidth="1"/>
    <col min="25" max="26" width="9.7109375" bestFit="1" customWidth="1"/>
    <col min="27" max="30" width="10.7109375" bestFit="1" customWidth="1"/>
    <col min="31" max="36" width="9.7109375" bestFit="1" customWidth="1"/>
    <col min="37" max="37" width="8.7109375" bestFit="1" customWidth="1"/>
    <col min="38" max="40" width="10.7109375" bestFit="1" customWidth="1"/>
    <col min="41" max="41" width="9.7109375" bestFit="1" customWidth="1"/>
    <col min="42" max="42" width="9" bestFit="1" customWidth="1"/>
    <col min="43" max="43" width="9.7109375" bestFit="1" customWidth="1"/>
    <col min="44" max="44" width="8.7109375" bestFit="1" customWidth="1"/>
    <col min="45" max="45" width="9.7109375" bestFit="1" customWidth="1"/>
    <col min="46" max="46" width="8.7109375" bestFit="1" customWidth="1"/>
    <col min="47" max="47" width="9.7109375" bestFit="1" customWidth="1"/>
    <col min="48" max="48" width="10" bestFit="1" customWidth="1"/>
    <col min="49" max="49" width="10.7109375" bestFit="1" customWidth="1"/>
    <col min="50" max="52" width="9.7109375" bestFit="1" customWidth="1"/>
    <col min="53" max="53" width="8.7109375" bestFit="1" customWidth="1"/>
    <col min="54" max="55" width="9.7109375" bestFit="1" customWidth="1"/>
    <col min="56" max="56" width="9" bestFit="1" customWidth="1"/>
    <col min="57" max="57" width="8.7109375" bestFit="1" customWidth="1"/>
    <col min="58" max="58" width="9.7109375" bestFit="1" customWidth="1"/>
    <col min="59" max="59" width="10.7109375" bestFit="1" customWidth="1"/>
    <col min="60" max="61" width="9.7109375" bestFit="1" customWidth="1"/>
    <col min="62" max="62" width="10.7109375" bestFit="1" customWidth="1"/>
    <col min="63" max="63" width="9.7109375" bestFit="1" customWidth="1"/>
    <col min="64" max="64" width="10.7109375" bestFit="1" customWidth="1"/>
    <col min="65" max="65" width="12" bestFit="1" customWidth="1"/>
  </cols>
  <sheetData>
    <row r="1" spans="1:18" x14ac:dyDescent="0.25">
      <c r="A1" s="7" t="s">
        <v>154</v>
      </c>
      <c r="B1" s="7" t="s">
        <v>5</v>
      </c>
      <c r="C1" s="7" t="s">
        <v>155</v>
      </c>
      <c r="D1" s="7" t="s">
        <v>156</v>
      </c>
      <c r="E1" s="7" t="s">
        <v>357</v>
      </c>
      <c r="F1" s="7" t="s">
        <v>157</v>
      </c>
      <c r="G1" s="7" t="s">
        <v>158</v>
      </c>
      <c r="H1" s="7" t="s">
        <v>159</v>
      </c>
      <c r="I1" s="7" t="s">
        <v>160</v>
      </c>
      <c r="J1" s="7" t="s">
        <v>161</v>
      </c>
      <c r="K1" s="7" t="s">
        <v>162</v>
      </c>
      <c r="L1" s="7" t="s">
        <v>11</v>
      </c>
      <c r="M1" s="7" t="s">
        <v>163</v>
      </c>
      <c r="N1" s="7" t="s">
        <v>164</v>
      </c>
      <c r="O1" s="7" t="s">
        <v>165</v>
      </c>
      <c r="Q1" s="21" t="s">
        <v>362</v>
      </c>
      <c r="R1" t="s">
        <v>361</v>
      </c>
    </row>
    <row r="2" spans="1:18" x14ac:dyDescent="0.25">
      <c r="A2" s="5" t="s">
        <v>166</v>
      </c>
      <c r="B2" s="6">
        <v>41121</v>
      </c>
      <c r="C2" s="6">
        <v>41121</v>
      </c>
      <c r="D2" s="5" t="s">
        <v>167</v>
      </c>
      <c r="E2" s="5" t="s">
        <v>358</v>
      </c>
      <c r="F2" s="5" t="s">
        <v>168</v>
      </c>
      <c r="G2" s="5" t="s">
        <v>169</v>
      </c>
      <c r="H2" s="5" t="s">
        <v>170</v>
      </c>
      <c r="I2" s="5" t="s">
        <v>171</v>
      </c>
      <c r="J2" s="5" t="s">
        <v>172</v>
      </c>
      <c r="K2" s="5" t="s">
        <v>173</v>
      </c>
      <c r="L2" s="5">
        <v>2309.65</v>
      </c>
      <c r="M2" s="5">
        <v>7</v>
      </c>
      <c r="N2" s="5">
        <v>762.18449999999984</v>
      </c>
      <c r="O2" s="5">
        <v>933.57</v>
      </c>
      <c r="Q2" s="22" t="s">
        <v>359</v>
      </c>
      <c r="R2">
        <v>33257.936999999991</v>
      </c>
    </row>
    <row r="3" spans="1:18" x14ac:dyDescent="0.25">
      <c r="A3" s="5" t="s">
        <v>174</v>
      </c>
      <c r="B3" s="6">
        <v>41310</v>
      </c>
      <c r="C3" s="6">
        <v>41312</v>
      </c>
      <c r="D3" s="5" t="s">
        <v>175</v>
      </c>
      <c r="E3" s="5" t="s">
        <v>359</v>
      </c>
      <c r="F3" s="5" t="s">
        <v>176</v>
      </c>
      <c r="G3" s="5" t="s">
        <v>177</v>
      </c>
      <c r="H3" s="5" t="s">
        <v>178</v>
      </c>
      <c r="I3" s="5" t="s">
        <v>179</v>
      </c>
      <c r="J3" s="5" t="s">
        <v>180</v>
      </c>
      <c r="K3" s="5" t="s">
        <v>181</v>
      </c>
      <c r="L3" s="5">
        <v>3709.3949999999995</v>
      </c>
      <c r="M3" s="5">
        <v>9</v>
      </c>
      <c r="N3" s="5">
        <v>-288.76499999999999</v>
      </c>
      <c r="O3" s="5">
        <v>923.63</v>
      </c>
      <c r="Q3" s="22" t="s">
        <v>360</v>
      </c>
      <c r="R3">
        <v>44836.019</v>
      </c>
    </row>
    <row r="4" spans="1:18" x14ac:dyDescent="0.25">
      <c r="A4" s="5" t="s">
        <v>182</v>
      </c>
      <c r="B4" s="6">
        <v>41564</v>
      </c>
      <c r="C4" s="6">
        <v>41565</v>
      </c>
      <c r="D4" s="5" t="s">
        <v>183</v>
      </c>
      <c r="E4" s="5" t="s">
        <v>360</v>
      </c>
      <c r="F4" s="5" t="s">
        <v>184</v>
      </c>
      <c r="G4" s="5" t="s">
        <v>185</v>
      </c>
      <c r="H4" s="5" t="s">
        <v>170</v>
      </c>
      <c r="I4" s="5" t="s">
        <v>179</v>
      </c>
      <c r="J4" s="5" t="s">
        <v>172</v>
      </c>
      <c r="K4" s="5" t="s">
        <v>186</v>
      </c>
      <c r="L4" s="5">
        <v>5175.1710000000012</v>
      </c>
      <c r="M4" s="5">
        <v>9</v>
      </c>
      <c r="N4" s="5">
        <v>919.97099999999966</v>
      </c>
      <c r="O4" s="5">
        <v>915.49</v>
      </c>
      <c r="Q4" s="22" t="s">
        <v>358</v>
      </c>
      <c r="R4">
        <v>97370.897200000007</v>
      </c>
    </row>
    <row r="5" spans="1:18" x14ac:dyDescent="0.25">
      <c r="A5" s="5" t="s">
        <v>187</v>
      </c>
      <c r="B5" s="6">
        <v>41302</v>
      </c>
      <c r="C5" s="6">
        <v>41304</v>
      </c>
      <c r="D5" s="5" t="s">
        <v>183</v>
      </c>
      <c r="E5" s="5" t="s">
        <v>358</v>
      </c>
      <c r="F5" s="5" t="s">
        <v>188</v>
      </c>
      <c r="G5" s="5" t="s">
        <v>189</v>
      </c>
      <c r="H5" s="5" t="s">
        <v>190</v>
      </c>
      <c r="I5" s="5" t="s">
        <v>191</v>
      </c>
      <c r="J5" s="5" t="s">
        <v>172</v>
      </c>
      <c r="K5" s="5" t="s">
        <v>186</v>
      </c>
      <c r="L5" s="5">
        <v>2892.5099999999998</v>
      </c>
      <c r="M5" s="5">
        <v>5</v>
      </c>
      <c r="N5" s="5">
        <v>-96.540000000000049</v>
      </c>
      <c r="O5" s="5">
        <v>910.16</v>
      </c>
      <c r="Q5" s="22" t="s">
        <v>363</v>
      </c>
      <c r="R5">
        <v>175464.85320000001</v>
      </c>
    </row>
    <row r="6" spans="1:18" x14ac:dyDescent="0.25">
      <c r="A6" s="5" t="s">
        <v>192</v>
      </c>
      <c r="B6" s="6">
        <v>41583</v>
      </c>
      <c r="C6" s="6">
        <v>41584</v>
      </c>
      <c r="D6" s="5" t="s">
        <v>167</v>
      </c>
      <c r="E6" s="5" t="s">
        <v>358</v>
      </c>
      <c r="F6" s="5" t="s">
        <v>193</v>
      </c>
      <c r="G6" s="5" t="s">
        <v>169</v>
      </c>
      <c r="H6" s="5" t="s">
        <v>170</v>
      </c>
      <c r="I6" s="5" t="s">
        <v>194</v>
      </c>
      <c r="J6" s="5" t="s">
        <v>172</v>
      </c>
      <c r="K6" s="5" t="s">
        <v>195</v>
      </c>
      <c r="L6" s="5">
        <v>2832.96</v>
      </c>
      <c r="M6" s="5">
        <v>8</v>
      </c>
      <c r="N6" s="5">
        <v>311.52</v>
      </c>
      <c r="O6" s="5">
        <v>903.04</v>
      </c>
    </row>
    <row r="7" spans="1:18" x14ac:dyDescent="0.25">
      <c r="A7" s="5" t="s">
        <v>196</v>
      </c>
      <c r="B7" s="6">
        <v>41453</v>
      </c>
      <c r="C7" s="6">
        <v>41456</v>
      </c>
      <c r="D7" s="5" t="s">
        <v>175</v>
      </c>
      <c r="E7" s="5" t="s">
        <v>358</v>
      </c>
      <c r="F7" s="5" t="s">
        <v>197</v>
      </c>
      <c r="G7" s="5" t="s">
        <v>198</v>
      </c>
      <c r="H7" s="5" t="s">
        <v>178</v>
      </c>
      <c r="I7" s="5" t="s">
        <v>179</v>
      </c>
      <c r="J7" s="5" t="s">
        <v>172</v>
      </c>
      <c r="K7" s="5" t="s">
        <v>186</v>
      </c>
      <c r="L7" s="5">
        <v>2862.6750000000002</v>
      </c>
      <c r="M7" s="5">
        <v>5</v>
      </c>
      <c r="N7" s="5">
        <v>763.27500000000009</v>
      </c>
      <c r="O7" s="5">
        <v>897.35</v>
      </c>
    </row>
    <row r="8" spans="1:18" x14ac:dyDescent="0.25">
      <c r="A8" s="5" t="s">
        <v>199</v>
      </c>
      <c r="B8" s="6">
        <v>40854</v>
      </c>
      <c r="C8" s="6">
        <v>40856</v>
      </c>
      <c r="D8" s="5" t="s">
        <v>183</v>
      </c>
      <c r="E8" s="5" t="s">
        <v>358</v>
      </c>
      <c r="F8" s="5" t="s">
        <v>200</v>
      </c>
      <c r="G8" s="5" t="s">
        <v>201</v>
      </c>
      <c r="H8" s="5" t="s">
        <v>170</v>
      </c>
      <c r="I8" s="5" t="s">
        <v>202</v>
      </c>
      <c r="J8" s="5" t="s">
        <v>180</v>
      </c>
      <c r="K8" s="5" t="s">
        <v>181</v>
      </c>
      <c r="L8" s="5">
        <v>1822.0799999999997</v>
      </c>
      <c r="M8" s="5">
        <v>4</v>
      </c>
      <c r="N8" s="5">
        <v>564.84</v>
      </c>
      <c r="O8" s="5">
        <v>894.77</v>
      </c>
    </row>
    <row r="9" spans="1:18" x14ac:dyDescent="0.25">
      <c r="A9" s="5" t="s">
        <v>203</v>
      </c>
      <c r="B9" s="6">
        <v>41013</v>
      </c>
      <c r="C9" s="6">
        <v>41017</v>
      </c>
      <c r="D9" s="5" t="s">
        <v>204</v>
      </c>
      <c r="E9" s="5" t="s">
        <v>359</v>
      </c>
      <c r="F9" s="5" t="s">
        <v>205</v>
      </c>
      <c r="G9" s="5" t="s">
        <v>206</v>
      </c>
      <c r="H9" s="5" t="s">
        <v>170</v>
      </c>
      <c r="I9" s="5" t="s">
        <v>202</v>
      </c>
      <c r="J9" s="5" t="s">
        <v>180</v>
      </c>
      <c r="K9" s="5" t="s">
        <v>207</v>
      </c>
      <c r="L9" s="5">
        <v>5244.84</v>
      </c>
      <c r="M9" s="5">
        <v>6</v>
      </c>
      <c r="N9" s="5">
        <v>996.4799999999999</v>
      </c>
      <c r="O9" s="5">
        <v>878.38</v>
      </c>
    </row>
    <row r="10" spans="1:18" x14ac:dyDescent="0.25">
      <c r="A10" s="5" t="s">
        <v>208</v>
      </c>
      <c r="B10" s="6">
        <v>41926</v>
      </c>
      <c r="C10" s="6">
        <v>41933</v>
      </c>
      <c r="D10" s="5" t="s">
        <v>204</v>
      </c>
      <c r="E10" s="5" t="s">
        <v>360</v>
      </c>
      <c r="F10" s="5" t="s">
        <v>209</v>
      </c>
      <c r="G10" s="5" t="s">
        <v>210</v>
      </c>
      <c r="H10" s="5" t="s">
        <v>178</v>
      </c>
      <c r="I10" s="5" t="s">
        <v>171</v>
      </c>
      <c r="J10" s="5" t="s">
        <v>211</v>
      </c>
      <c r="K10" s="5" t="s">
        <v>212</v>
      </c>
      <c r="L10" s="5">
        <v>5083.96</v>
      </c>
      <c r="M10" s="5">
        <v>5</v>
      </c>
      <c r="N10" s="5">
        <v>1906.4849999999999</v>
      </c>
      <c r="O10" s="5">
        <v>867.69</v>
      </c>
    </row>
    <row r="11" spans="1:18" x14ac:dyDescent="0.25">
      <c r="A11" s="5" t="s">
        <v>213</v>
      </c>
      <c r="B11" s="6">
        <v>40936</v>
      </c>
      <c r="C11" s="6">
        <v>40939</v>
      </c>
      <c r="D11" s="5" t="s">
        <v>175</v>
      </c>
      <c r="E11" s="5" t="s">
        <v>358</v>
      </c>
      <c r="F11" s="5" t="s">
        <v>214</v>
      </c>
      <c r="G11" s="5" t="s">
        <v>215</v>
      </c>
      <c r="H11" s="5" t="s">
        <v>170</v>
      </c>
      <c r="I11" s="5" t="s">
        <v>171</v>
      </c>
      <c r="J11" s="5" t="s">
        <v>180</v>
      </c>
      <c r="K11" s="5" t="s">
        <v>207</v>
      </c>
      <c r="L11" s="5">
        <v>4297.6440000000002</v>
      </c>
      <c r="M11" s="5">
        <v>13</v>
      </c>
      <c r="N11" s="5">
        <v>-1862.3124000000003</v>
      </c>
      <c r="O11" s="5">
        <v>865.74</v>
      </c>
    </row>
    <row r="12" spans="1:18" x14ac:dyDescent="0.25">
      <c r="A12" s="5" t="s">
        <v>216</v>
      </c>
      <c r="B12" s="6">
        <v>40638</v>
      </c>
      <c r="C12" s="6">
        <v>40642</v>
      </c>
      <c r="D12" s="5" t="s">
        <v>175</v>
      </c>
      <c r="E12" s="5" t="s">
        <v>359</v>
      </c>
      <c r="F12" s="5" t="s">
        <v>217</v>
      </c>
      <c r="G12" s="5" t="s">
        <v>218</v>
      </c>
      <c r="H12" s="5" t="s">
        <v>178</v>
      </c>
      <c r="I12" s="5" t="s">
        <v>171</v>
      </c>
      <c r="J12" s="5" t="s">
        <v>211</v>
      </c>
      <c r="K12" s="5" t="s">
        <v>219</v>
      </c>
      <c r="L12" s="5">
        <v>4164.0499999999993</v>
      </c>
      <c r="M12" s="5">
        <v>5</v>
      </c>
      <c r="N12" s="5">
        <v>83.281000000000063</v>
      </c>
      <c r="O12" s="5">
        <v>846.54</v>
      </c>
    </row>
    <row r="13" spans="1:18" x14ac:dyDescent="0.25">
      <c r="A13" s="5" t="s">
        <v>220</v>
      </c>
      <c r="B13" s="6">
        <v>41018</v>
      </c>
      <c r="C13" s="6">
        <v>41021</v>
      </c>
      <c r="D13" s="5" t="s">
        <v>183</v>
      </c>
      <c r="E13" s="5" t="s">
        <v>359</v>
      </c>
      <c r="F13" s="5" t="s">
        <v>221</v>
      </c>
      <c r="G13" s="5" t="s">
        <v>222</v>
      </c>
      <c r="H13" s="5" t="s">
        <v>178</v>
      </c>
      <c r="I13" s="5" t="s">
        <v>223</v>
      </c>
      <c r="J13" s="5" t="s">
        <v>180</v>
      </c>
      <c r="K13" s="5" t="s">
        <v>207</v>
      </c>
      <c r="L13" s="5">
        <v>4626.1499999999996</v>
      </c>
      <c r="M13" s="5">
        <v>5</v>
      </c>
      <c r="N13" s="5">
        <v>647.54999999999995</v>
      </c>
      <c r="O13" s="5">
        <v>835.57</v>
      </c>
    </row>
    <row r="14" spans="1:18" x14ac:dyDescent="0.25">
      <c r="A14" s="5" t="s">
        <v>224</v>
      </c>
      <c r="B14" s="6">
        <v>40904</v>
      </c>
      <c r="C14" s="6">
        <v>40906</v>
      </c>
      <c r="D14" s="5" t="s">
        <v>175</v>
      </c>
      <c r="E14" s="5" t="s">
        <v>358</v>
      </c>
      <c r="F14" s="5" t="s">
        <v>225</v>
      </c>
      <c r="G14" s="5" t="s">
        <v>226</v>
      </c>
      <c r="H14" s="5" t="s">
        <v>170</v>
      </c>
      <c r="I14" s="5" t="s">
        <v>227</v>
      </c>
      <c r="J14" s="5" t="s">
        <v>172</v>
      </c>
      <c r="K14" s="5" t="s">
        <v>186</v>
      </c>
      <c r="L14" s="5">
        <v>2616.96</v>
      </c>
      <c r="M14" s="5">
        <v>4</v>
      </c>
      <c r="N14" s="5">
        <v>1151.4000000000001</v>
      </c>
      <c r="O14" s="5">
        <v>832.41</v>
      </c>
    </row>
    <row r="15" spans="1:18" x14ac:dyDescent="0.25">
      <c r="A15" s="5" t="s">
        <v>228</v>
      </c>
      <c r="B15" s="6">
        <v>41226</v>
      </c>
      <c r="C15" s="6">
        <v>41226</v>
      </c>
      <c r="D15" s="5" t="s">
        <v>167</v>
      </c>
      <c r="E15" s="5" t="s">
        <v>359</v>
      </c>
      <c r="F15" s="5" t="s">
        <v>229</v>
      </c>
      <c r="G15" s="5" t="s">
        <v>230</v>
      </c>
      <c r="H15" s="5" t="s">
        <v>190</v>
      </c>
      <c r="I15" s="5" t="s">
        <v>231</v>
      </c>
      <c r="J15" s="5" t="s">
        <v>180</v>
      </c>
      <c r="K15" s="5" t="s">
        <v>181</v>
      </c>
      <c r="L15" s="5">
        <v>2221.8000000000002</v>
      </c>
      <c r="M15" s="5">
        <v>7</v>
      </c>
      <c r="N15" s="5">
        <v>622.02</v>
      </c>
      <c r="O15" s="5">
        <v>810.25</v>
      </c>
    </row>
    <row r="16" spans="1:18" x14ac:dyDescent="0.25">
      <c r="A16" s="5" t="s">
        <v>232</v>
      </c>
      <c r="B16" s="6">
        <v>41431</v>
      </c>
      <c r="C16" s="6">
        <v>41433</v>
      </c>
      <c r="D16" s="5" t="s">
        <v>175</v>
      </c>
      <c r="E16" s="5" t="s">
        <v>360</v>
      </c>
      <c r="F16" s="5" t="s">
        <v>233</v>
      </c>
      <c r="G16" s="5" t="s">
        <v>234</v>
      </c>
      <c r="H16" s="5" t="s">
        <v>170</v>
      </c>
      <c r="I16" s="5" t="s">
        <v>235</v>
      </c>
      <c r="J16" s="5" t="s">
        <v>211</v>
      </c>
      <c r="K16" s="5" t="s">
        <v>236</v>
      </c>
      <c r="L16" s="5">
        <v>3701.5199999999995</v>
      </c>
      <c r="M16" s="5">
        <v>12</v>
      </c>
      <c r="N16" s="5">
        <v>1036.08</v>
      </c>
      <c r="O16" s="5">
        <v>804.54</v>
      </c>
    </row>
    <row r="17" spans="1:15" x14ac:dyDescent="0.25">
      <c r="A17" s="5" t="s">
        <v>237</v>
      </c>
      <c r="B17" s="6">
        <v>41851</v>
      </c>
      <c r="C17" s="6">
        <v>41854</v>
      </c>
      <c r="D17" s="5" t="s">
        <v>175</v>
      </c>
      <c r="E17" s="5" t="s">
        <v>358</v>
      </c>
      <c r="F17" s="5" t="s">
        <v>238</v>
      </c>
      <c r="G17" s="5" t="s">
        <v>239</v>
      </c>
      <c r="H17" s="5" t="s">
        <v>178</v>
      </c>
      <c r="I17" s="5" t="s">
        <v>240</v>
      </c>
      <c r="J17" s="5" t="s">
        <v>211</v>
      </c>
      <c r="K17" s="5" t="s">
        <v>236</v>
      </c>
      <c r="L17" s="5">
        <v>1869.5879999999997</v>
      </c>
      <c r="M17" s="5">
        <v>4</v>
      </c>
      <c r="N17" s="5">
        <v>186.94800000000004</v>
      </c>
      <c r="O17" s="5">
        <v>801.66</v>
      </c>
    </row>
    <row r="18" spans="1:15" x14ac:dyDescent="0.25">
      <c r="A18" s="5" t="s">
        <v>241</v>
      </c>
      <c r="B18" s="6">
        <v>41946</v>
      </c>
      <c r="C18" s="6">
        <v>41949</v>
      </c>
      <c r="D18" s="5" t="s">
        <v>175</v>
      </c>
      <c r="E18" s="5" t="s">
        <v>359</v>
      </c>
      <c r="F18" s="5" t="s">
        <v>242</v>
      </c>
      <c r="G18" s="5" t="s">
        <v>243</v>
      </c>
      <c r="H18" s="5" t="s">
        <v>178</v>
      </c>
      <c r="I18" s="5" t="s">
        <v>171</v>
      </c>
      <c r="J18" s="5" t="s">
        <v>172</v>
      </c>
      <c r="K18" s="5" t="s">
        <v>173</v>
      </c>
      <c r="L18" s="5">
        <v>2249.91</v>
      </c>
      <c r="M18" s="5">
        <v>9</v>
      </c>
      <c r="N18" s="5">
        <v>517.47930000000008</v>
      </c>
      <c r="O18" s="5">
        <v>780.7</v>
      </c>
    </row>
    <row r="19" spans="1:15" x14ac:dyDescent="0.25">
      <c r="A19" s="5" t="s">
        <v>244</v>
      </c>
      <c r="B19" s="6">
        <v>41890</v>
      </c>
      <c r="C19" s="6">
        <v>41896</v>
      </c>
      <c r="D19" s="5" t="s">
        <v>204</v>
      </c>
      <c r="E19" s="5" t="s">
        <v>360</v>
      </c>
      <c r="F19" s="5" t="s">
        <v>245</v>
      </c>
      <c r="G19" s="5" t="s">
        <v>246</v>
      </c>
      <c r="H19" s="5" t="s">
        <v>178</v>
      </c>
      <c r="I19" s="5" t="s">
        <v>247</v>
      </c>
      <c r="J19" s="5" t="s">
        <v>211</v>
      </c>
      <c r="K19" s="5" t="s">
        <v>236</v>
      </c>
      <c r="L19" s="5">
        <v>7958.58</v>
      </c>
      <c r="M19" s="5">
        <v>14</v>
      </c>
      <c r="N19" s="5">
        <v>3979.0799999999995</v>
      </c>
      <c r="O19" s="5">
        <v>778.32</v>
      </c>
    </row>
    <row r="20" spans="1:15" x14ac:dyDescent="0.25">
      <c r="A20" s="5" t="s">
        <v>248</v>
      </c>
      <c r="B20" s="6">
        <v>41670</v>
      </c>
      <c r="C20" s="6">
        <v>41671</v>
      </c>
      <c r="D20" s="5" t="s">
        <v>183</v>
      </c>
      <c r="E20" s="5" t="s">
        <v>358</v>
      </c>
      <c r="F20" s="5" t="s">
        <v>249</v>
      </c>
      <c r="G20" s="5" t="s">
        <v>250</v>
      </c>
      <c r="H20" s="5" t="s">
        <v>178</v>
      </c>
      <c r="I20" s="5" t="s">
        <v>179</v>
      </c>
      <c r="J20" s="5" t="s">
        <v>172</v>
      </c>
      <c r="K20" s="5" t="s">
        <v>195</v>
      </c>
      <c r="L20" s="5">
        <v>2565.5940000000001</v>
      </c>
      <c r="M20" s="5">
        <v>9</v>
      </c>
      <c r="N20" s="5">
        <v>28.40399999999994</v>
      </c>
      <c r="O20" s="5">
        <v>766.93</v>
      </c>
    </row>
    <row r="21" spans="1:15" x14ac:dyDescent="0.25">
      <c r="A21" s="5" t="s">
        <v>251</v>
      </c>
      <c r="B21" s="6">
        <v>41978</v>
      </c>
      <c r="C21" s="6">
        <v>41980</v>
      </c>
      <c r="D21" s="5" t="s">
        <v>175</v>
      </c>
      <c r="E21" s="5" t="s">
        <v>359</v>
      </c>
      <c r="F21" s="5" t="s">
        <v>252</v>
      </c>
      <c r="G21" s="5" t="s">
        <v>253</v>
      </c>
      <c r="H21" s="5" t="s">
        <v>170</v>
      </c>
      <c r="I21" s="5" t="s">
        <v>254</v>
      </c>
      <c r="J21" s="5" t="s">
        <v>211</v>
      </c>
      <c r="K21" s="5" t="s">
        <v>236</v>
      </c>
      <c r="L21" s="5">
        <v>3409.74</v>
      </c>
      <c r="M21" s="5">
        <v>6</v>
      </c>
      <c r="N21" s="5">
        <v>818.28</v>
      </c>
      <c r="O21" s="5">
        <v>763.38</v>
      </c>
    </row>
    <row r="22" spans="1:15" x14ac:dyDescent="0.25">
      <c r="A22" s="5" t="s">
        <v>255</v>
      </c>
      <c r="B22" s="6">
        <v>41129</v>
      </c>
      <c r="C22" s="6">
        <v>41131</v>
      </c>
      <c r="D22" s="5" t="s">
        <v>183</v>
      </c>
      <c r="E22" s="5" t="s">
        <v>360</v>
      </c>
      <c r="F22" s="5" t="s">
        <v>256</v>
      </c>
      <c r="G22" s="5" t="s">
        <v>257</v>
      </c>
      <c r="H22" s="5" t="s">
        <v>178</v>
      </c>
      <c r="I22" s="5" t="s">
        <v>258</v>
      </c>
      <c r="J22" s="5" t="s">
        <v>180</v>
      </c>
      <c r="K22" s="5" t="s">
        <v>207</v>
      </c>
      <c r="L22" s="5">
        <v>1977.7199999999998</v>
      </c>
      <c r="M22" s="5">
        <v>4</v>
      </c>
      <c r="N22" s="5">
        <v>276.84000000000003</v>
      </c>
      <c r="O22" s="5">
        <v>759.47</v>
      </c>
    </row>
    <row r="23" spans="1:15" x14ac:dyDescent="0.25">
      <c r="A23" s="5" t="s">
        <v>259</v>
      </c>
      <c r="B23" s="6">
        <v>40845</v>
      </c>
      <c r="C23" s="6">
        <v>40847</v>
      </c>
      <c r="D23" s="5" t="s">
        <v>183</v>
      </c>
      <c r="E23" s="5" t="s">
        <v>360</v>
      </c>
      <c r="F23" s="5" t="s">
        <v>260</v>
      </c>
      <c r="G23" s="5" t="s">
        <v>261</v>
      </c>
      <c r="H23" s="5" t="s">
        <v>170</v>
      </c>
      <c r="I23" s="5" t="s">
        <v>171</v>
      </c>
      <c r="J23" s="5" t="s">
        <v>172</v>
      </c>
      <c r="K23" s="5" t="s">
        <v>186</v>
      </c>
      <c r="L23" s="5">
        <v>2735.9520000000002</v>
      </c>
      <c r="M23" s="5">
        <v>6</v>
      </c>
      <c r="N23" s="5">
        <v>341.99399999999969</v>
      </c>
      <c r="O23" s="5">
        <v>752.51</v>
      </c>
    </row>
    <row r="24" spans="1:15" x14ac:dyDescent="0.25">
      <c r="A24" s="5" t="s">
        <v>262</v>
      </c>
      <c r="B24" s="6">
        <v>40665</v>
      </c>
      <c r="C24" s="6">
        <v>40666</v>
      </c>
      <c r="D24" s="5" t="s">
        <v>183</v>
      </c>
      <c r="E24" s="5" t="s">
        <v>360</v>
      </c>
      <c r="F24" s="5" t="s">
        <v>263</v>
      </c>
      <c r="G24" s="5" t="s">
        <v>264</v>
      </c>
      <c r="H24" s="5" t="s">
        <v>178</v>
      </c>
      <c r="I24" s="5" t="s">
        <v>235</v>
      </c>
      <c r="J24" s="5" t="s">
        <v>180</v>
      </c>
      <c r="K24" s="5" t="s">
        <v>181</v>
      </c>
      <c r="L24" s="5">
        <v>2753.9999999999991</v>
      </c>
      <c r="M24" s="5">
        <v>6</v>
      </c>
      <c r="N24" s="5">
        <v>358.02</v>
      </c>
      <c r="O24" s="5">
        <v>752.47</v>
      </c>
    </row>
    <row r="25" spans="1:15" x14ac:dyDescent="0.25">
      <c r="A25" s="5" t="s">
        <v>265</v>
      </c>
      <c r="B25" s="6">
        <v>41332</v>
      </c>
      <c r="C25" s="6">
        <v>41334</v>
      </c>
      <c r="D25" s="5" t="s">
        <v>175</v>
      </c>
      <c r="E25" s="5" t="s">
        <v>360</v>
      </c>
      <c r="F25" s="5" t="s">
        <v>266</v>
      </c>
      <c r="G25" s="5" t="s">
        <v>267</v>
      </c>
      <c r="H25" s="5" t="s">
        <v>190</v>
      </c>
      <c r="I25" s="5" t="s">
        <v>268</v>
      </c>
      <c r="J25" s="5" t="s">
        <v>211</v>
      </c>
      <c r="K25" s="5" t="s">
        <v>236</v>
      </c>
      <c r="L25" s="5">
        <v>5273.7</v>
      </c>
      <c r="M25" s="5">
        <v>10</v>
      </c>
      <c r="N25" s="5">
        <v>1898.4</v>
      </c>
      <c r="O25" s="5">
        <v>730.91</v>
      </c>
    </row>
    <row r="26" spans="1:15" x14ac:dyDescent="0.25">
      <c r="A26" s="5" t="s">
        <v>269</v>
      </c>
      <c r="B26" s="6">
        <v>41851</v>
      </c>
      <c r="C26" s="6">
        <v>41852</v>
      </c>
      <c r="D26" s="5" t="s">
        <v>183</v>
      </c>
      <c r="E26" s="5" t="s">
        <v>360</v>
      </c>
      <c r="F26" s="5" t="s">
        <v>270</v>
      </c>
      <c r="G26" s="5" t="s">
        <v>271</v>
      </c>
      <c r="H26" s="5" t="s">
        <v>170</v>
      </c>
      <c r="I26" s="5" t="s">
        <v>272</v>
      </c>
      <c r="J26" s="5" t="s">
        <v>172</v>
      </c>
      <c r="K26" s="5" t="s">
        <v>186</v>
      </c>
      <c r="L26" s="5">
        <v>1713.8400000000001</v>
      </c>
      <c r="M26" s="5">
        <v>4</v>
      </c>
      <c r="N26" s="5">
        <v>445.52</v>
      </c>
      <c r="O26" s="5">
        <v>728.96800000000007</v>
      </c>
    </row>
    <row r="27" spans="1:15" x14ac:dyDescent="0.25">
      <c r="A27" s="5" t="s">
        <v>273</v>
      </c>
      <c r="B27" s="6">
        <v>41887</v>
      </c>
      <c r="C27" s="6">
        <v>41890</v>
      </c>
      <c r="D27" s="5" t="s">
        <v>183</v>
      </c>
      <c r="E27" s="5" t="s">
        <v>360</v>
      </c>
      <c r="F27" s="5" t="s">
        <v>274</v>
      </c>
      <c r="G27" s="5" t="s">
        <v>275</v>
      </c>
      <c r="H27" s="5" t="s">
        <v>170</v>
      </c>
      <c r="I27" s="5" t="s">
        <v>276</v>
      </c>
      <c r="J27" s="5" t="s">
        <v>180</v>
      </c>
      <c r="K27" s="5" t="s">
        <v>207</v>
      </c>
      <c r="L27" s="5">
        <v>2106.4960000000001</v>
      </c>
      <c r="M27" s="5">
        <v>8</v>
      </c>
      <c r="N27" s="5">
        <v>526.49600000000009</v>
      </c>
      <c r="O27" s="5">
        <v>728.38900000000001</v>
      </c>
    </row>
    <row r="28" spans="1:15" x14ac:dyDescent="0.25">
      <c r="A28" s="5" t="s">
        <v>277</v>
      </c>
      <c r="B28" s="6">
        <v>40894</v>
      </c>
      <c r="C28" s="6">
        <v>40897</v>
      </c>
      <c r="D28" s="5" t="s">
        <v>183</v>
      </c>
      <c r="E28" s="5" t="s">
        <v>360</v>
      </c>
      <c r="F28" s="5" t="s">
        <v>278</v>
      </c>
      <c r="G28" s="5" t="s">
        <v>279</v>
      </c>
      <c r="H28" s="5" t="s">
        <v>178</v>
      </c>
      <c r="I28" s="5" t="s">
        <v>280</v>
      </c>
      <c r="J28" s="5" t="s">
        <v>180</v>
      </c>
      <c r="K28" s="5" t="s">
        <v>207</v>
      </c>
      <c r="L28" s="5">
        <v>1715.1599999999999</v>
      </c>
      <c r="M28" s="5">
        <v>2</v>
      </c>
      <c r="N28" s="5">
        <v>720.36</v>
      </c>
      <c r="O28" s="5">
        <v>725.57</v>
      </c>
    </row>
    <row r="29" spans="1:15" x14ac:dyDescent="0.25">
      <c r="A29" s="5" t="s">
        <v>281</v>
      </c>
      <c r="B29" s="6">
        <v>40616</v>
      </c>
      <c r="C29" s="6">
        <v>40619</v>
      </c>
      <c r="D29" s="5" t="s">
        <v>175</v>
      </c>
      <c r="E29" s="5" t="s">
        <v>358</v>
      </c>
      <c r="F29" s="5" t="s">
        <v>282</v>
      </c>
      <c r="G29" s="5" t="s">
        <v>283</v>
      </c>
      <c r="H29" s="5" t="s">
        <v>170</v>
      </c>
      <c r="I29" s="5" t="s">
        <v>191</v>
      </c>
      <c r="J29" s="5" t="s">
        <v>211</v>
      </c>
      <c r="K29" s="5" t="s">
        <v>236</v>
      </c>
      <c r="L29" s="5">
        <v>3069.7380000000003</v>
      </c>
      <c r="M29" s="5">
        <v>6</v>
      </c>
      <c r="N29" s="5">
        <v>1364.2379999999996</v>
      </c>
      <c r="O29" s="5">
        <v>725.34</v>
      </c>
    </row>
    <row r="30" spans="1:15" x14ac:dyDescent="0.25">
      <c r="A30" s="5" t="s">
        <v>284</v>
      </c>
      <c r="B30" s="6">
        <v>41344</v>
      </c>
      <c r="C30" s="6">
        <v>41345</v>
      </c>
      <c r="D30" s="5" t="s">
        <v>183</v>
      </c>
      <c r="E30" s="5" t="s">
        <v>359</v>
      </c>
      <c r="F30" s="5" t="s">
        <v>285</v>
      </c>
      <c r="G30" s="5" t="s">
        <v>286</v>
      </c>
      <c r="H30" s="5" t="s">
        <v>190</v>
      </c>
      <c r="I30" s="5" t="s">
        <v>171</v>
      </c>
      <c r="J30" s="5" t="s">
        <v>172</v>
      </c>
      <c r="K30" s="5" t="s">
        <v>186</v>
      </c>
      <c r="L30" s="5">
        <v>4158.9120000000003</v>
      </c>
      <c r="M30" s="5">
        <v>8</v>
      </c>
      <c r="N30" s="5">
        <v>363.90480000000025</v>
      </c>
      <c r="O30" s="5">
        <v>714.66</v>
      </c>
    </row>
    <row r="31" spans="1:15" x14ac:dyDescent="0.25">
      <c r="A31" s="5" t="s">
        <v>287</v>
      </c>
      <c r="B31" s="6">
        <v>40964</v>
      </c>
      <c r="C31" s="6">
        <v>40964</v>
      </c>
      <c r="D31" s="5" t="s">
        <v>167</v>
      </c>
      <c r="E31" s="5" t="s">
        <v>360</v>
      </c>
      <c r="F31" s="5" t="s">
        <v>288</v>
      </c>
      <c r="G31" s="5" t="s">
        <v>289</v>
      </c>
      <c r="H31" s="5" t="s">
        <v>170</v>
      </c>
      <c r="I31" s="5" t="s">
        <v>290</v>
      </c>
      <c r="J31" s="5" t="s">
        <v>180</v>
      </c>
      <c r="K31" s="5" t="s">
        <v>181</v>
      </c>
      <c r="L31" s="5">
        <v>1878.7199999999998</v>
      </c>
      <c r="M31" s="5">
        <v>4</v>
      </c>
      <c r="N31" s="5">
        <v>582.36</v>
      </c>
      <c r="O31" s="5">
        <v>704.08</v>
      </c>
    </row>
    <row r="32" spans="1:15" x14ac:dyDescent="0.25">
      <c r="A32" s="5" t="s">
        <v>291</v>
      </c>
      <c r="B32" s="6">
        <v>40905</v>
      </c>
      <c r="C32" s="6">
        <v>40907</v>
      </c>
      <c r="D32" s="5" t="s">
        <v>175</v>
      </c>
      <c r="E32" s="5" t="s">
        <v>358</v>
      </c>
      <c r="F32" s="5" t="s">
        <v>292</v>
      </c>
      <c r="G32" s="5" t="s">
        <v>293</v>
      </c>
      <c r="H32" s="5" t="s">
        <v>178</v>
      </c>
      <c r="I32" s="5" t="s">
        <v>294</v>
      </c>
      <c r="J32" s="5" t="s">
        <v>172</v>
      </c>
      <c r="K32" s="5" t="s">
        <v>186</v>
      </c>
      <c r="L32" s="5">
        <v>1696.64</v>
      </c>
      <c r="M32" s="5">
        <v>5</v>
      </c>
      <c r="N32" s="5">
        <v>-148.46000000000004</v>
      </c>
      <c r="O32" s="5">
        <v>704.05600000000004</v>
      </c>
    </row>
    <row r="33" spans="1:15" x14ac:dyDescent="0.25">
      <c r="A33" s="5" t="s">
        <v>295</v>
      </c>
      <c r="B33" s="6">
        <v>41107</v>
      </c>
      <c r="C33" s="6">
        <v>41109</v>
      </c>
      <c r="D33" s="5" t="s">
        <v>183</v>
      </c>
      <c r="E33" s="5" t="s">
        <v>358</v>
      </c>
      <c r="F33" s="5" t="s">
        <v>296</v>
      </c>
      <c r="G33" s="5" t="s">
        <v>297</v>
      </c>
      <c r="H33" s="5" t="s">
        <v>178</v>
      </c>
      <c r="I33" s="5" t="s">
        <v>240</v>
      </c>
      <c r="J33" s="5" t="s">
        <v>172</v>
      </c>
      <c r="K33" s="5" t="s">
        <v>298</v>
      </c>
      <c r="L33" s="5">
        <v>2402.8650000000002</v>
      </c>
      <c r="M33" s="5">
        <v>9</v>
      </c>
      <c r="N33" s="5">
        <v>763.15499999999997</v>
      </c>
      <c r="O33" s="5">
        <v>699.55</v>
      </c>
    </row>
    <row r="34" spans="1:15" x14ac:dyDescent="0.25">
      <c r="A34" s="5" t="s">
        <v>299</v>
      </c>
      <c r="B34" s="6">
        <v>41197</v>
      </c>
      <c r="C34" s="6">
        <v>41197</v>
      </c>
      <c r="D34" s="5" t="s">
        <v>167</v>
      </c>
      <c r="E34" s="5" t="s">
        <v>358</v>
      </c>
      <c r="F34" s="5" t="s">
        <v>300</v>
      </c>
      <c r="G34" s="5" t="s">
        <v>301</v>
      </c>
      <c r="H34" s="5" t="s">
        <v>170</v>
      </c>
      <c r="I34" s="5" t="s">
        <v>171</v>
      </c>
      <c r="J34" s="5" t="s">
        <v>180</v>
      </c>
      <c r="K34" s="5" t="s">
        <v>181</v>
      </c>
      <c r="L34" s="5">
        <v>2453.4299999999998</v>
      </c>
      <c r="M34" s="5">
        <v>5</v>
      </c>
      <c r="N34" s="5">
        <v>-350.4899999999999</v>
      </c>
      <c r="O34" s="5">
        <v>690.42</v>
      </c>
    </row>
    <row r="35" spans="1:15" x14ac:dyDescent="0.25">
      <c r="A35" s="5" t="s">
        <v>302</v>
      </c>
      <c r="B35" s="6">
        <v>40850</v>
      </c>
      <c r="C35" s="6">
        <v>40852</v>
      </c>
      <c r="D35" s="5" t="s">
        <v>175</v>
      </c>
      <c r="E35" s="5" t="s">
        <v>358</v>
      </c>
      <c r="F35" s="5" t="s">
        <v>303</v>
      </c>
      <c r="G35" s="5" t="s">
        <v>304</v>
      </c>
      <c r="H35" s="5" t="s">
        <v>178</v>
      </c>
      <c r="I35" s="5" t="s">
        <v>179</v>
      </c>
      <c r="J35" s="5" t="s">
        <v>211</v>
      </c>
      <c r="K35" s="5" t="s">
        <v>236</v>
      </c>
      <c r="L35" s="5">
        <v>2526.9299999999998</v>
      </c>
      <c r="M35" s="5">
        <v>5</v>
      </c>
      <c r="N35" s="5">
        <v>561.48</v>
      </c>
      <c r="O35" s="5">
        <v>689.8</v>
      </c>
    </row>
    <row r="36" spans="1:15" x14ac:dyDescent="0.25">
      <c r="A36" s="5" t="s">
        <v>305</v>
      </c>
      <c r="B36" s="6">
        <v>40889</v>
      </c>
      <c r="C36" s="6">
        <v>40891</v>
      </c>
      <c r="D36" s="5" t="s">
        <v>175</v>
      </c>
      <c r="E36" s="5" t="s">
        <v>358</v>
      </c>
      <c r="F36" s="5" t="s">
        <v>306</v>
      </c>
      <c r="G36" s="5" t="s">
        <v>307</v>
      </c>
      <c r="H36" s="5" t="s">
        <v>170</v>
      </c>
      <c r="I36" s="5" t="s">
        <v>171</v>
      </c>
      <c r="J36" s="5" t="s">
        <v>180</v>
      </c>
      <c r="K36" s="5" t="s">
        <v>207</v>
      </c>
      <c r="L36" s="5">
        <v>3610.848</v>
      </c>
      <c r="M36" s="5">
        <v>12</v>
      </c>
      <c r="N36" s="5">
        <v>135.4068000000002</v>
      </c>
      <c r="O36" s="5">
        <v>683.12</v>
      </c>
    </row>
    <row r="37" spans="1:15" x14ac:dyDescent="0.25">
      <c r="A37" s="5" t="s">
        <v>308</v>
      </c>
      <c r="B37" s="6">
        <v>40800</v>
      </c>
      <c r="C37" s="6">
        <v>40801</v>
      </c>
      <c r="D37" s="5" t="s">
        <v>183</v>
      </c>
      <c r="E37" s="5" t="s">
        <v>358</v>
      </c>
      <c r="F37" s="5" t="s">
        <v>309</v>
      </c>
      <c r="G37" s="5" t="s">
        <v>310</v>
      </c>
      <c r="H37" s="5" t="s">
        <v>178</v>
      </c>
      <c r="I37" s="5" t="s">
        <v>311</v>
      </c>
      <c r="J37" s="5" t="s">
        <v>172</v>
      </c>
      <c r="K37" s="5" t="s">
        <v>186</v>
      </c>
      <c r="L37" s="5">
        <v>3817.26</v>
      </c>
      <c r="M37" s="5">
        <v>6</v>
      </c>
      <c r="N37" s="5">
        <v>1068.6599999999999</v>
      </c>
      <c r="O37" s="5">
        <v>678.15</v>
      </c>
    </row>
    <row r="38" spans="1:15" x14ac:dyDescent="0.25">
      <c r="A38" s="5" t="s">
        <v>312</v>
      </c>
      <c r="B38" s="6">
        <v>40800</v>
      </c>
      <c r="C38" s="6">
        <v>40800</v>
      </c>
      <c r="D38" s="5" t="s">
        <v>167</v>
      </c>
      <c r="E38" s="5" t="s">
        <v>358</v>
      </c>
      <c r="F38" s="5" t="s">
        <v>313</v>
      </c>
      <c r="G38" s="5" t="s">
        <v>314</v>
      </c>
      <c r="H38" s="5" t="s">
        <v>170</v>
      </c>
      <c r="I38" s="5" t="s">
        <v>171</v>
      </c>
      <c r="J38" s="5" t="s">
        <v>172</v>
      </c>
      <c r="K38" s="5" t="s">
        <v>298</v>
      </c>
      <c r="L38" s="5">
        <v>2799.96</v>
      </c>
      <c r="M38" s="5">
        <v>4</v>
      </c>
      <c r="N38" s="5">
        <v>1371.9803999999999</v>
      </c>
      <c r="O38" s="5">
        <v>675.15</v>
      </c>
    </row>
    <row r="39" spans="1:15" x14ac:dyDescent="0.25">
      <c r="A39" s="5" t="s">
        <v>315</v>
      </c>
      <c r="B39" s="6">
        <v>41948</v>
      </c>
      <c r="C39" s="6">
        <v>41948</v>
      </c>
      <c r="D39" s="5" t="s">
        <v>167</v>
      </c>
      <c r="E39" s="5" t="s">
        <v>358</v>
      </c>
      <c r="F39" s="5" t="s">
        <v>316</v>
      </c>
      <c r="G39" s="5" t="s">
        <v>317</v>
      </c>
      <c r="H39" s="5" t="s">
        <v>178</v>
      </c>
      <c r="I39" s="5" t="s">
        <v>171</v>
      </c>
      <c r="J39" s="5" t="s">
        <v>172</v>
      </c>
      <c r="K39" s="5" t="s">
        <v>298</v>
      </c>
      <c r="L39" s="5">
        <v>7999.98</v>
      </c>
      <c r="M39" s="5">
        <v>4</v>
      </c>
      <c r="N39" s="5">
        <v>-3839.9903999999988</v>
      </c>
      <c r="O39" s="5">
        <v>674.82</v>
      </c>
    </row>
    <row r="40" spans="1:15" x14ac:dyDescent="0.25">
      <c r="A40" s="5" t="s">
        <v>318</v>
      </c>
      <c r="B40" s="6">
        <v>41653</v>
      </c>
      <c r="C40" s="6">
        <v>41657</v>
      </c>
      <c r="D40" s="5" t="s">
        <v>204</v>
      </c>
      <c r="E40" s="5" t="s">
        <v>358</v>
      </c>
      <c r="F40" s="5" t="s">
        <v>319</v>
      </c>
      <c r="G40" s="5" t="s">
        <v>320</v>
      </c>
      <c r="H40" s="5" t="s">
        <v>170</v>
      </c>
      <c r="I40" s="5" t="s">
        <v>268</v>
      </c>
      <c r="J40" s="5" t="s">
        <v>172</v>
      </c>
      <c r="K40" s="5" t="s">
        <v>195</v>
      </c>
      <c r="L40" s="5">
        <v>4141.0200000000004</v>
      </c>
      <c r="M40" s="5">
        <v>13</v>
      </c>
      <c r="N40" s="5">
        <v>1697.67</v>
      </c>
      <c r="O40" s="5">
        <v>668.96</v>
      </c>
    </row>
    <row r="41" spans="1:15" x14ac:dyDescent="0.25">
      <c r="A41" s="5" t="s">
        <v>321</v>
      </c>
      <c r="B41" s="6">
        <v>40553</v>
      </c>
      <c r="C41" s="6">
        <v>40554</v>
      </c>
      <c r="D41" s="5" t="s">
        <v>183</v>
      </c>
      <c r="E41" s="5" t="s">
        <v>358</v>
      </c>
      <c r="F41" s="5" t="s">
        <v>322</v>
      </c>
      <c r="G41" s="5" t="s">
        <v>323</v>
      </c>
      <c r="H41" s="5" t="s">
        <v>170</v>
      </c>
      <c r="I41" s="5" t="s">
        <v>179</v>
      </c>
      <c r="J41" s="5" t="s">
        <v>172</v>
      </c>
      <c r="K41" s="5" t="s">
        <v>186</v>
      </c>
      <c r="L41" s="5">
        <v>2875.0950000000007</v>
      </c>
      <c r="M41" s="5">
        <v>5</v>
      </c>
      <c r="N41" s="5">
        <v>511.09499999999991</v>
      </c>
      <c r="O41" s="5">
        <v>665.27</v>
      </c>
    </row>
    <row r="42" spans="1:15" x14ac:dyDescent="0.25">
      <c r="A42" s="5" t="s">
        <v>324</v>
      </c>
      <c r="B42" s="6">
        <v>41508</v>
      </c>
      <c r="C42" s="6">
        <v>41512</v>
      </c>
      <c r="D42" s="5" t="s">
        <v>204</v>
      </c>
      <c r="E42" s="5" t="s">
        <v>358</v>
      </c>
      <c r="F42" s="5" t="s">
        <v>325</v>
      </c>
      <c r="G42" s="5" t="s">
        <v>326</v>
      </c>
      <c r="H42" s="5" t="s">
        <v>170</v>
      </c>
      <c r="I42" s="5" t="s">
        <v>327</v>
      </c>
      <c r="J42" s="5" t="s">
        <v>172</v>
      </c>
      <c r="K42" s="5" t="s">
        <v>186</v>
      </c>
      <c r="L42" s="5">
        <v>3200.5962</v>
      </c>
      <c r="M42" s="5">
        <v>6</v>
      </c>
      <c r="N42" s="5">
        <v>-77.203799999999887</v>
      </c>
      <c r="O42" s="5">
        <v>660.87</v>
      </c>
    </row>
    <row r="43" spans="1:15" x14ac:dyDescent="0.25">
      <c r="A43" s="5" t="s">
        <v>328</v>
      </c>
      <c r="B43" s="6">
        <v>41954</v>
      </c>
      <c r="C43" s="6">
        <v>41958</v>
      </c>
      <c r="D43" s="5" t="s">
        <v>204</v>
      </c>
      <c r="E43" s="5" t="s">
        <v>358</v>
      </c>
      <c r="F43" s="5" t="s">
        <v>329</v>
      </c>
      <c r="G43" s="5" t="s">
        <v>330</v>
      </c>
      <c r="H43" s="5" t="s">
        <v>190</v>
      </c>
      <c r="I43" s="5" t="s">
        <v>290</v>
      </c>
      <c r="J43" s="5" t="s">
        <v>172</v>
      </c>
      <c r="K43" s="5" t="s">
        <v>186</v>
      </c>
      <c r="L43" s="5">
        <v>4518.78</v>
      </c>
      <c r="M43" s="5">
        <v>7</v>
      </c>
      <c r="N43" s="5">
        <v>632.52</v>
      </c>
      <c r="O43" s="5">
        <v>658.69</v>
      </c>
    </row>
    <row r="44" spans="1:15" x14ac:dyDescent="0.25">
      <c r="A44" s="5" t="s">
        <v>331</v>
      </c>
      <c r="B44" s="6">
        <v>41908</v>
      </c>
      <c r="C44" s="6">
        <v>41910</v>
      </c>
      <c r="D44" s="5" t="s">
        <v>175</v>
      </c>
      <c r="E44" s="5" t="s">
        <v>358</v>
      </c>
      <c r="F44" s="5" t="s">
        <v>332</v>
      </c>
      <c r="G44" s="5" t="s">
        <v>333</v>
      </c>
      <c r="H44" s="5" t="s">
        <v>178</v>
      </c>
      <c r="I44" s="5" t="s">
        <v>290</v>
      </c>
      <c r="J44" s="5" t="s">
        <v>180</v>
      </c>
      <c r="K44" s="5" t="s">
        <v>334</v>
      </c>
      <c r="L44" s="5">
        <v>5667.87</v>
      </c>
      <c r="M44" s="5">
        <v>13</v>
      </c>
      <c r="N44" s="5">
        <v>2097.0300000000002</v>
      </c>
      <c r="O44" s="5">
        <v>658.35</v>
      </c>
    </row>
    <row r="45" spans="1:15" x14ac:dyDescent="0.25">
      <c r="A45" s="5" t="s">
        <v>335</v>
      </c>
      <c r="B45" s="6">
        <v>41256</v>
      </c>
      <c r="C45" s="6">
        <v>41260</v>
      </c>
      <c r="D45" s="5" t="s">
        <v>204</v>
      </c>
      <c r="E45" s="5" t="s">
        <v>358</v>
      </c>
      <c r="F45" s="5" t="s">
        <v>336</v>
      </c>
      <c r="G45" s="5" t="s">
        <v>337</v>
      </c>
      <c r="H45" s="5" t="s">
        <v>170</v>
      </c>
      <c r="I45" s="5" t="s">
        <v>268</v>
      </c>
      <c r="J45" s="5" t="s">
        <v>172</v>
      </c>
      <c r="K45" s="5" t="s">
        <v>186</v>
      </c>
      <c r="L45" s="5">
        <v>5785.0199999999995</v>
      </c>
      <c r="M45" s="5">
        <v>9</v>
      </c>
      <c r="N45" s="5">
        <v>404.73</v>
      </c>
      <c r="O45" s="5">
        <v>656.73</v>
      </c>
    </row>
    <row r="46" spans="1:15" x14ac:dyDescent="0.25">
      <c r="A46" s="5" t="s">
        <v>338</v>
      </c>
      <c r="B46" s="6">
        <v>40809</v>
      </c>
      <c r="C46" s="6">
        <v>40811</v>
      </c>
      <c r="D46" s="5" t="s">
        <v>183</v>
      </c>
      <c r="E46" s="5" t="s">
        <v>358</v>
      </c>
      <c r="F46" s="5" t="s">
        <v>339</v>
      </c>
      <c r="G46" s="5" t="s">
        <v>340</v>
      </c>
      <c r="H46" s="5" t="s">
        <v>170</v>
      </c>
      <c r="I46" s="5" t="s">
        <v>191</v>
      </c>
      <c r="J46" s="5" t="s">
        <v>211</v>
      </c>
      <c r="K46" s="5" t="s">
        <v>236</v>
      </c>
      <c r="L46" s="5">
        <v>3018.6239999999998</v>
      </c>
      <c r="M46" s="5">
        <v>7</v>
      </c>
      <c r="N46" s="5">
        <v>377.24399999999991</v>
      </c>
      <c r="O46" s="5">
        <v>655.91</v>
      </c>
    </row>
    <row r="47" spans="1:15" x14ac:dyDescent="0.25">
      <c r="A47" s="5" t="s">
        <v>341</v>
      </c>
      <c r="B47" s="6">
        <v>40809</v>
      </c>
      <c r="C47" s="6">
        <v>40814</v>
      </c>
      <c r="D47" s="5" t="s">
        <v>204</v>
      </c>
      <c r="E47" s="5" t="s">
        <v>358</v>
      </c>
      <c r="F47" s="5" t="s">
        <v>342</v>
      </c>
      <c r="G47" s="5" t="s">
        <v>343</v>
      </c>
      <c r="H47" s="5" t="s">
        <v>170</v>
      </c>
      <c r="I47" s="5" t="s">
        <v>171</v>
      </c>
      <c r="J47" s="5" t="s">
        <v>211</v>
      </c>
      <c r="K47" s="5" t="s">
        <v>212</v>
      </c>
      <c r="L47" s="5">
        <v>9449.9500000000007</v>
      </c>
      <c r="M47" s="5">
        <v>5</v>
      </c>
      <c r="N47" s="5">
        <v>4630.4755000000005</v>
      </c>
      <c r="O47" s="5">
        <v>655.61</v>
      </c>
    </row>
    <row r="48" spans="1:15" x14ac:dyDescent="0.25">
      <c r="A48" s="5" t="s">
        <v>344</v>
      </c>
      <c r="B48" s="6">
        <v>41341</v>
      </c>
      <c r="C48" s="6">
        <v>41341</v>
      </c>
      <c r="D48" s="5" t="s">
        <v>167</v>
      </c>
      <c r="E48" s="5" t="s">
        <v>358</v>
      </c>
      <c r="F48" s="5" t="s">
        <v>345</v>
      </c>
      <c r="G48" s="5" t="s">
        <v>346</v>
      </c>
      <c r="H48" s="5" t="s">
        <v>178</v>
      </c>
      <c r="I48" s="5" t="s">
        <v>240</v>
      </c>
      <c r="J48" s="5" t="s">
        <v>180</v>
      </c>
      <c r="K48" s="5" t="s">
        <v>181</v>
      </c>
      <c r="L48" s="5">
        <v>2092.4999999999995</v>
      </c>
      <c r="M48" s="5">
        <v>5</v>
      </c>
      <c r="N48" s="5">
        <v>720.74999999999989</v>
      </c>
      <c r="O48" s="5">
        <v>652.98</v>
      </c>
    </row>
    <row r="49" spans="1:15" x14ac:dyDescent="0.25">
      <c r="A49" s="5" t="s">
        <v>347</v>
      </c>
      <c r="B49" s="6">
        <v>41879</v>
      </c>
      <c r="C49" s="6">
        <v>41880</v>
      </c>
      <c r="D49" s="5" t="s">
        <v>183</v>
      </c>
      <c r="E49" s="5" t="s">
        <v>360</v>
      </c>
      <c r="F49" s="5" t="s">
        <v>348</v>
      </c>
      <c r="G49" s="5" t="s">
        <v>349</v>
      </c>
      <c r="H49" s="5" t="s">
        <v>170</v>
      </c>
      <c r="I49" s="5" t="s">
        <v>235</v>
      </c>
      <c r="J49" s="5" t="s">
        <v>180</v>
      </c>
      <c r="K49" s="5" t="s">
        <v>181</v>
      </c>
      <c r="L49" s="5">
        <v>2761.2</v>
      </c>
      <c r="M49" s="5">
        <v>6</v>
      </c>
      <c r="N49" s="5">
        <v>110.34</v>
      </c>
      <c r="O49" s="5">
        <v>644.75</v>
      </c>
    </row>
    <row r="50" spans="1:15" x14ac:dyDescent="0.25">
      <c r="A50" s="5" t="s">
        <v>350</v>
      </c>
      <c r="B50" s="6">
        <v>41760</v>
      </c>
      <c r="C50" s="6">
        <v>41760</v>
      </c>
      <c r="D50" s="5" t="s">
        <v>167</v>
      </c>
      <c r="E50" s="5" t="s">
        <v>358</v>
      </c>
      <c r="F50" s="5" t="s">
        <v>351</v>
      </c>
      <c r="G50" s="5" t="s">
        <v>352</v>
      </c>
      <c r="H50" s="5" t="s">
        <v>170</v>
      </c>
      <c r="I50" s="5" t="s">
        <v>290</v>
      </c>
      <c r="J50" s="5" t="s">
        <v>172</v>
      </c>
      <c r="K50" s="5" t="s">
        <v>298</v>
      </c>
      <c r="L50" s="5">
        <v>2174.13</v>
      </c>
      <c r="M50" s="5">
        <v>7</v>
      </c>
      <c r="N50" s="5">
        <v>500.00999999999993</v>
      </c>
      <c r="O50" s="5">
        <v>637.86</v>
      </c>
    </row>
    <row r="51" spans="1:15" x14ac:dyDescent="0.25">
      <c r="A51" s="5" t="s">
        <v>353</v>
      </c>
      <c r="B51" s="6">
        <v>41991</v>
      </c>
      <c r="C51" s="6">
        <v>41993</v>
      </c>
      <c r="D51" s="5" t="s">
        <v>175</v>
      </c>
      <c r="E51" s="5" t="s">
        <v>359</v>
      </c>
      <c r="F51" s="5" t="s">
        <v>354</v>
      </c>
      <c r="G51" s="5" t="s">
        <v>355</v>
      </c>
      <c r="H51" s="5" t="s">
        <v>170</v>
      </c>
      <c r="I51" s="5" t="s">
        <v>356</v>
      </c>
      <c r="J51" s="5" t="s">
        <v>180</v>
      </c>
      <c r="K51" s="5" t="s">
        <v>181</v>
      </c>
      <c r="L51" s="5">
        <v>3473.1399999999994</v>
      </c>
      <c r="M51" s="5">
        <v>11</v>
      </c>
      <c r="N51" s="5">
        <v>868.12000000000012</v>
      </c>
      <c r="O51" s="5">
        <v>634.529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Region Wise Sales</vt:lpstr>
      <vt:lpstr>Sheet4</vt:lpstr>
      <vt:lpstr>Sheet5</vt:lpstr>
      <vt:lpstr>Sheet6</vt:lpstr>
      <vt:lpstr>Sheet7</vt:lpstr>
      <vt:lpstr>Sheet8</vt:lpstr>
      <vt:lpstr>% diff</vt:lpstr>
      <vt:lpstr>Product in Demands</vt:lpstr>
      <vt:lpstr>Top 3 SalesRe</vt:lpstr>
      <vt:lpstr>Data</vt:lpstr>
      <vt:lpstr>Info</vt:lpstr>
      <vt:lpstr>Grouping</vt:lpstr>
      <vt:lpstr>Claculated Fields-Items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Satej Bhogate</cp:lastModifiedBy>
  <dcterms:created xsi:type="dcterms:W3CDTF">2015-06-05T18:17:20Z</dcterms:created>
  <dcterms:modified xsi:type="dcterms:W3CDTF">2025-08-08T15:49:04Z</dcterms:modified>
</cp:coreProperties>
</file>