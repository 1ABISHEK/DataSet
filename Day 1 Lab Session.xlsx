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69004577-9E69-4810-B4C3-D70FEC4F537E}" xr6:coauthVersionLast="47" xr6:coauthVersionMax="47" xr10:uidLastSave="{00000000-0000-0000-0000-000000000000}"/>
  <bookViews>
    <workbookView xWindow="-120" yWindow="-120" windowWidth="20730" windowHeight="11040" firstSheet="2" activeTab="6" xr2:uid="{5981EF23-1510-46C8-A822-D4DBD64A59DE}"/>
  </bookViews>
  <sheets>
    <sheet name="1.Basic" sheetId="6" r:id="rId1"/>
    <sheet name="2.Formatting" sheetId="2" r:id="rId2"/>
    <sheet name="DEMO" sheetId="8" r:id="rId3"/>
    <sheet name="3.Fill Series" sheetId="3" r:id="rId4"/>
    <sheet name="4.Flash Fill" sheetId="7" r:id="rId5"/>
    <sheet name="Copy Paste" sheetId="4" r:id="rId6"/>
    <sheet name="Sheet3" sheetId="11" r:id="rId7"/>
    <sheet name="Find and Select Clear" sheetId="5" r:id="rId8"/>
  </sheets>
  <definedNames>
    <definedName name="abc">'1.Basic'!$C$2</definedName>
    <definedName name="data">'2.Formatting'!$A$2:$I$12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7" l="1"/>
  <c r="M5" i="7"/>
  <c r="M6" i="7"/>
  <c r="M7" i="7"/>
  <c r="M8" i="7"/>
  <c r="M9" i="7"/>
  <c r="M10" i="7"/>
  <c r="M11" i="7"/>
  <c r="M12" i="7"/>
  <c r="M13" i="7"/>
  <c r="M3" i="7"/>
  <c r="I2" i="4"/>
  <c r="I3" i="4"/>
  <c r="I4" i="4"/>
  <c r="I5" i="4"/>
  <c r="I6" i="4"/>
  <c r="I7" i="4"/>
  <c r="I8" i="4"/>
  <c r="I9" i="4"/>
  <c r="I10" i="4"/>
  <c r="I11" i="4"/>
  <c r="I11" i="5"/>
  <c r="I10" i="5"/>
  <c r="I9" i="5"/>
  <c r="I8" i="5"/>
  <c r="I7" i="5"/>
  <c r="I6" i="5"/>
  <c r="I5" i="5"/>
  <c r="I4" i="5"/>
  <c r="I3" i="5"/>
  <c r="I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tc={5D65A82A-74E3-4B11-8878-4E44FE698445}</author>
    <author>tc={DCB8D60B-2C49-472B-93AF-7A7CC35356AD}</author>
    <author>HP</author>
  </authors>
  <commentList>
    <comment ref="H2" authorId="0" shapeId="0" xr:uid="{5D65A82A-74E3-4B11-8878-4E44FE698445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Highest Salary</t>
      </text>
    </comment>
    <comment ref="J2" authorId="1" shapeId="0" xr:uid="{DCB8D60B-2C49-472B-93AF-7A7CC35356AD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Highest Salary</t>
      </text>
    </comment>
    <comment ref="G5" authorId="2" shapeId="0" xr:uid="{4F935958-A8A6-4164-81E2-C1077C2992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Shift+F2 is the shortcut for adding note.</t>
        </r>
      </text>
    </comment>
    <comment ref="D8" authorId="2" shapeId="0" xr:uid="{C43E6661-2F0F-4F09-BA12-B82DE80CA4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From Personnel department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tc={EE220B20-884B-4834-BE6B-8976BEE38458}</author>
    <author>HP</author>
  </authors>
  <commentList>
    <comment ref="H2" authorId="0" shapeId="0" xr:uid="{EE220B20-884B-4834-BE6B-8976BEE38458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Highest Salary</t>
      </text>
    </comment>
    <comment ref="G5" authorId="1" shapeId="0" xr:uid="{3D3D7A34-ABCD-4959-A910-03D8878FFC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Shift+F2 is the shortcut for adding note.</t>
        </r>
      </text>
    </comment>
    <comment ref="D8" authorId="1" shapeId="0" xr:uid="{C03E0115-8D3A-4A78-824B-B8D81032746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From Personnel department</t>
        </r>
      </text>
    </comment>
  </commentList>
</comments>
</file>

<file path=xl/sharedStrings.xml><?xml version="1.0" encoding="utf-8"?>
<sst xmlns="http://schemas.openxmlformats.org/spreadsheetml/2006/main" count="575" uniqueCount="279">
  <si>
    <t>SNO</t>
  </si>
  <si>
    <t>First name</t>
  </si>
  <si>
    <t>Last name</t>
  </si>
  <si>
    <t>Department</t>
  </si>
  <si>
    <t>Region</t>
  </si>
  <si>
    <t>Branches</t>
  </si>
  <si>
    <t>Date Hire</t>
  </si>
  <si>
    <t>Salary</t>
  </si>
  <si>
    <t>Raja</t>
  </si>
  <si>
    <t>Raymondekar</t>
  </si>
  <si>
    <t>Sales</t>
  </si>
  <si>
    <t>north</t>
  </si>
  <si>
    <t>Ferozepur</t>
  </si>
  <si>
    <t>Suman</t>
  </si>
  <si>
    <t>Shinde</t>
  </si>
  <si>
    <t>east</t>
  </si>
  <si>
    <t>Cuttack</t>
  </si>
  <si>
    <t>Kuldeep</t>
  </si>
  <si>
    <t>Sharma</t>
  </si>
  <si>
    <t>Admin</t>
  </si>
  <si>
    <t>south</t>
  </si>
  <si>
    <t>Hydrabad</t>
  </si>
  <si>
    <t>Beena</t>
  </si>
  <si>
    <t>Mavadia</t>
  </si>
  <si>
    <t>Mktg</t>
  </si>
  <si>
    <t>Delhi</t>
  </si>
  <si>
    <t>Seema</t>
  </si>
  <si>
    <t>Ranganathan</t>
  </si>
  <si>
    <t>R&amp;D</t>
  </si>
  <si>
    <t>Kanpur</t>
  </si>
  <si>
    <t>Julie</t>
  </si>
  <si>
    <t>D'Souza</t>
  </si>
  <si>
    <t>Mathura</t>
  </si>
  <si>
    <t>Deepak</t>
  </si>
  <si>
    <t>Jain</t>
  </si>
  <si>
    <t>Personnel</t>
  </si>
  <si>
    <t>west</t>
  </si>
  <si>
    <t>Pune</t>
  </si>
  <si>
    <t>Neena</t>
  </si>
  <si>
    <t>Mukherjee</t>
  </si>
  <si>
    <t>Agra</t>
  </si>
  <si>
    <t>Pankaj</t>
  </si>
  <si>
    <t>Sutradhar</t>
  </si>
  <si>
    <t>Ambala</t>
  </si>
  <si>
    <t>Andre</t>
  </si>
  <si>
    <t>Fernendes</t>
  </si>
  <si>
    <t>Darjeeling</t>
  </si>
  <si>
    <t>FORMATTING</t>
  </si>
  <si>
    <t>BOLD</t>
  </si>
  <si>
    <t>ITALICS</t>
  </si>
  <si>
    <t>UNDERLINE</t>
  </si>
  <si>
    <t>BORDER</t>
  </si>
  <si>
    <t>FILL COLOUR</t>
  </si>
  <si>
    <t>FONT COLOUR</t>
  </si>
  <si>
    <t>MERGE CELLS</t>
  </si>
  <si>
    <t>WRAP TEXT COLUMN WIDTH REMAINS SAME WHILE ROW HEIGHT INCREASES</t>
  </si>
  <si>
    <t>H ALIGNMENT</t>
  </si>
  <si>
    <t>V ALIGNMENT</t>
  </si>
  <si>
    <t>TEXT DIRECTION</t>
  </si>
  <si>
    <t>FONT</t>
  </si>
  <si>
    <t>Allignment</t>
  </si>
  <si>
    <t>Number</t>
  </si>
  <si>
    <t>Date</t>
  </si>
  <si>
    <t>SR.NO</t>
  </si>
  <si>
    <t>Day</t>
  </si>
  <si>
    <t>Day1</t>
  </si>
  <si>
    <t>Month</t>
  </si>
  <si>
    <t>Month1</t>
  </si>
  <si>
    <t>Ex</t>
  </si>
  <si>
    <t>Monday</t>
  </si>
  <si>
    <t>January</t>
  </si>
  <si>
    <t>Week1</t>
  </si>
  <si>
    <t>tax</t>
  </si>
  <si>
    <t>https://elearning.excelr.com/</t>
  </si>
  <si>
    <t>Excel Basics</t>
  </si>
  <si>
    <t>Hide/Unhide Columns/Rows</t>
  </si>
  <si>
    <t xml:space="preserve">Freezing Panes </t>
  </si>
  <si>
    <t>Splitting Windows</t>
  </si>
  <si>
    <t>Insert/Insert multiple</t>
  </si>
  <si>
    <t xml:space="preserve">Delete/Delete multiple </t>
  </si>
  <si>
    <t>Sr. No</t>
  </si>
  <si>
    <t>Madhrani</t>
  </si>
  <si>
    <t>First Name</t>
  </si>
  <si>
    <t>John</t>
  </si>
  <si>
    <t>Pritam</t>
  </si>
  <si>
    <t>Rahul</t>
  </si>
  <si>
    <t>Rakesh</t>
  </si>
  <si>
    <t>Shailesh</t>
  </si>
  <si>
    <t>Adam</t>
  </si>
  <si>
    <t>Amita</t>
  </si>
  <si>
    <t>Joy</t>
  </si>
  <si>
    <t>Sheetal</t>
  </si>
  <si>
    <t>Rose</t>
  </si>
  <si>
    <t>Anjali</t>
  </si>
  <si>
    <t>Full Name</t>
  </si>
  <si>
    <t>Year</t>
  </si>
  <si>
    <t>Upper case</t>
  </si>
  <si>
    <t>Age</t>
  </si>
  <si>
    <t>Sentence</t>
  </si>
  <si>
    <t>Ray</t>
  </si>
  <si>
    <t>Day Name</t>
  </si>
  <si>
    <t>Days</t>
  </si>
  <si>
    <t>Tuesday</t>
  </si>
  <si>
    <t>Wednesday</t>
  </si>
  <si>
    <t>Thursday</t>
  </si>
  <si>
    <t>Friday</t>
  </si>
  <si>
    <t>Saturday</t>
  </si>
  <si>
    <t>Sunday</t>
  </si>
  <si>
    <t>Hike</t>
  </si>
  <si>
    <t>Wed</t>
  </si>
  <si>
    <t>Step</t>
  </si>
  <si>
    <t>Growth</t>
  </si>
  <si>
    <t>Salary hike</t>
  </si>
  <si>
    <t>Update Last Name</t>
  </si>
  <si>
    <t>Makhija</t>
  </si>
  <si>
    <t>Rao</t>
  </si>
  <si>
    <t>copy</t>
  </si>
  <si>
    <t>ctrl +c</t>
  </si>
  <si>
    <t xml:space="preserve">paste </t>
  </si>
  <si>
    <t xml:space="preserve">cut </t>
  </si>
  <si>
    <t>ctrl+X</t>
  </si>
  <si>
    <t>Meena</t>
  </si>
  <si>
    <t>Transpose</t>
  </si>
  <si>
    <t>Skip Blanks</t>
  </si>
  <si>
    <t>Operation</t>
  </si>
  <si>
    <t>Linked pictures</t>
  </si>
  <si>
    <t>linear</t>
  </si>
  <si>
    <t>step</t>
  </si>
  <si>
    <t>stop</t>
  </si>
  <si>
    <t>increment</t>
  </si>
  <si>
    <t xml:space="preserve">upto </t>
  </si>
  <si>
    <t>Add</t>
  </si>
  <si>
    <t>growth</t>
  </si>
  <si>
    <t>multiply</t>
  </si>
  <si>
    <t>ctrl +d</t>
  </si>
  <si>
    <t>ctrl+r</t>
  </si>
  <si>
    <t>copy down</t>
  </si>
  <si>
    <t>copy right</t>
  </si>
  <si>
    <t>ctrl+v</t>
  </si>
  <si>
    <t>Cell</t>
  </si>
  <si>
    <t xml:space="preserve">Row </t>
  </si>
  <si>
    <t>Column</t>
  </si>
  <si>
    <t>Name Box</t>
  </si>
  <si>
    <t>Formula Bar</t>
  </si>
  <si>
    <t>Q1</t>
  </si>
  <si>
    <t>Row</t>
  </si>
  <si>
    <t>Features</t>
  </si>
  <si>
    <t>.xls</t>
  </si>
  <si>
    <t>.xlsx</t>
  </si>
  <si>
    <t>Slicer</t>
  </si>
  <si>
    <t>Sparklines</t>
  </si>
  <si>
    <t xml:space="preserve">Power Pivot </t>
  </si>
  <si>
    <t>skydrive</t>
  </si>
  <si>
    <t>BI</t>
  </si>
  <si>
    <t>Shah</t>
  </si>
  <si>
    <t>Versions</t>
  </si>
  <si>
    <t>Extension</t>
  </si>
  <si>
    <t>Shortcut</t>
  </si>
  <si>
    <t>alt+H FI S</t>
  </si>
  <si>
    <t>(tab key to move)</t>
  </si>
  <si>
    <t>(enter key for result)</t>
  </si>
  <si>
    <t>SHORT CUT : ctrl +E</t>
  </si>
  <si>
    <t>Rajiv</t>
  </si>
  <si>
    <t>id</t>
  </si>
  <si>
    <t xml:space="preserve">name </t>
  </si>
  <si>
    <t>contact</t>
  </si>
  <si>
    <t>Raj</t>
  </si>
  <si>
    <t xml:space="preserve">Meera </t>
  </si>
  <si>
    <t>Create new Worksheet</t>
  </si>
  <si>
    <t>F2</t>
  </si>
  <si>
    <t>to enter in edit mode</t>
  </si>
  <si>
    <t xml:space="preserve">Double Click </t>
  </si>
  <si>
    <t xml:space="preserve">Enter </t>
  </si>
  <si>
    <t xml:space="preserve"> </t>
  </si>
  <si>
    <t xml:space="preserve">Ctrl + Enter </t>
  </si>
  <si>
    <t>Edit Mode off --&gt; next cell</t>
  </si>
  <si>
    <t>Edit mode off --&gt; you will be in  same Cell</t>
  </si>
  <si>
    <t>Handles</t>
  </si>
  <si>
    <t xml:space="preserve">Select </t>
  </si>
  <si>
    <t>Is used to select particular cell</t>
  </si>
  <si>
    <t xml:space="preserve">Fill </t>
  </si>
  <si>
    <t>is used to copy paste the cell value</t>
  </si>
  <si>
    <t xml:space="preserve">Move </t>
  </si>
  <si>
    <t>is used to move one cell with value to another cell address</t>
  </si>
  <si>
    <t>Undo</t>
  </si>
  <si>
    <t>Redo</t>
  </si>
  <si>
    <t>Ctrl + Z</t>
  </si>
  <si>
    <t>Ctrl + Y</t>
  </si>
  <si>
    <t xml:space="preserve">Save </t>
  </si>
  <si>
    <t>Ctrl + S</t>
  </si>
  <si>
    <t xml:space="preserve">To Create a new Worksheet </t>
  </si>
  <si>
    <t xml:space="preserve">Click on + buttom </t>
  </si>
  <si>
    <t>Shift + fn + f11</t>
  </si>
  <si>
    <t xml:space="preserve">  </t>
  </si>
  <si>
    <t>Linear : Add Step to Fill Series</t>
  </si>
  <si>
    <t>Growth : Multiple step in fill series</t>
  </si>
  <si>
    <t>Thu</t>
  </si>
  <si>
    <t>Fri</t>
  </si>
  <si>
    <t>Mon</t>
  </si>
  <si>
    <t>Tue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</si>
  <si>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</si>
  <si>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</si>
  <si>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</si>
  <si>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</si>
  <si>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</si>
  <si>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</si>
  <si>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</si>
  <si>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</si>
  <si>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</si>
  <si>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</si>
  <si>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</si>
  <si>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</si>
  <si>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</si>
  <si>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</si>
  <si>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</si>
  <si>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</si>
  <si>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</si>
  <si>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</si>
  <si>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</si>
  <si>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</si>
  <si>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</si>
  <si>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</si>
  <si>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</si>
  <si>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</si>
  <si>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</si>
  <si>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</si>
  <si>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</si>
  <si>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</si>
  <si>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</si>
  <si>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</si>
  <si>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</si>
  <si>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</si>
  <si>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</si>
  <si>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</si>
  <si>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</si>
  <si>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</si>
  <si>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</si>
  <si>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</si>
  <si>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</si>
  <si>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</si>
  <si>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</si>
  <si>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Q2</t>
  </si>
  <si>
    <t>Q3</t>
  </si>
  <si>
    <t>Q4</t>
  </si>
  <si>
    <t xml:space="preserve">Not working please check on this </t>
  </si>
  <si>
    <t>JOHN</t>
  </si>
  <si>
    <t>PRITAM</t>
  </si>
  <si>
    <t>RAHUL</t>
  </si>
  <si>
    <t>RAKESH</t>
  </si>
  <si>
    <t>SHAILESH</t>
  </si>
  <si>
    <t>ADAM</t>
  </si>
  <si>
    <t>AMITA</t>
  </si>
  <si>
    <t>JOY</t>
  </si>
  <si>
    <t>SHEETAL</t>
  </si>
  <si>
    <t>ROSE</t>
  </si>
  <si>
    <t>ANJALI</t>
  </si>
  <si>
    <t xml:space="preserve">John Ray is 35 years old </t>
  </si>
  <si>
    <t>Pritam Shinde is 33 years old</t>
  </si>
  <si>
    <t>Rahul Sharma is 28 years old</t>
  </si>
  <si>
    <t>Rakesh Mavadia is 46 years old</t>
  </si>
  <si>
    <t>Shailesh Ranganathan is 26 years old</t>
  </si>
  <si>
    <t>Adam D'Souza is 36 years old</t>
  </si>
  <si>
    <t>Amita Jain is 34 years old</t>
  </si>
  <si>
    <t>Joy Mukherjee is 26 years old</t>
  </si>
  <si>
    <t>Sheetal Sutradhar is 32 years old</t>
  </si>
  <si>
    <t>Rose Fernendes is 28 years old</t>
  </si>
  <si>
    <t>Anjali Madhrani is 48 years old</t>
  </si>
  <si>
    <t>John R</t>
  </si>
  <si>
    <t>Pritam S</t>
  </si>
  <si>
    <t>Rahul S</t>
  </si>
  <si>
    <t>Rakesh M</t>
  </si>
  <si>
    <t>Shailesh R</t>
  </si>
  <si>
    <t>Adam D'S</t>
  </si>
  <si>
    <t>Amita J</t>
  </si>
  <si>
    <t>Joy M</t>
  </si>
  <si>
    <t>Sheetal S</t>
  </si>
  <si>
    <t>Rose F</t>
  </si>
  <si>
    <t>Anjali M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</si>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</sst>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&quot;₹&quot;\ #,##0.00"/>
    <numFmt numFmtId="166" formatCode="[$-14009]yyyy/mm/dd;@"/>
    <numFmt numFmtId="167" formatCode="&quot;$&quot;#,##0"/>
    <numFmt numFmtId="168" formatCode="ddd\-mmmm\-yyyy"/>
    <numFmt numFmtId="169" formatCode="d\-mm\-yyyy"/>
    <numFmt numFmtId="170" formatCode="dd\-mm\-yyyy"/>
    <numFmt numFmtId="171" formatCode="dddd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4" tint="-0.249977111117893"/>
      <name val="Arial Black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theme="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6" fillId="3" borderId="1" xfId="0" applyFont="1" applyFill="1" applyBorder="1"/>
    <xf numFmtId="0" fontId="6" fillId="3" borderId="1" xfId="1" applyNumberFormat="1" applyFont="1" applyFill="1" applyBorder="1"/>
    <xf numFmtId="0" fontId="4" fillId="0" borderId="1" xfId="0" applyFont="1" applyBorder="1"/>
    <xf numFmtId="0" fontId="3" fillId="0" borderId="0" xfId="0" applyFont="1"/>
    <xf numFmtId="0" fontId="7" fillId="2" borderId="0" xfId="0" applyFont="1" applyFill="1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14" fontId="4" fillId="0" borderId="1" xfId="0" applyNumberFormat="1" applyFont="1" applyBorder="1"/>
    <xf numFmtId="165" fontId="4" fillId="0" borderId="1" xfId="1" applyNumberFormat="1" applyFont="1" applyBorder="1"/>
    <xf numFmtId="0" fontId="4" fillId="5" borderId="1" xfId="0" applyFont="1" applyFill="1" applyBorder="1"/>
    <xf numFmtId="0" fontId="11" fillId="0" borderId="0" xfId="0" applyFont="1"/>
    <xf numFmtId="0" fontId="12" fillId="0" borderId="0" xfId="0" applyFont="1"/>
    <xf numFmtId="14" fontId="0" fillId="0" borderId="0" xfId="0" applyNumberFormat="1"/>
    <xf numFmtId="14" fontId="0" fillId="0" borderId="1" xfId="0" applyNumberFormat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4" fillId="2" borderId="1" xfId="0" applyFont="1" applyFill="1" applyBorder="1"/>
    <xf numFmtId="0" fontId="0" fillId="2" borderId="1" xfId="0" applyFill="1" applyBorder="1"/>
    <xf numFmtId="0" fontId="3" fillId="0" borderId="1" xfId="0" applyFont="1" applyBorder="1"/>
    <xf numFmtId="0" fontId="13" fillId="0" borderId="0" xfId="0" applyFont="1"/>
    <xf numFmtId="0" fontId="14" fillId="0" borderId="0" xfId="0" applyFont="1"/>
    <xf numFmtId="0" fontId="0" fillId="6" borderId="0" xfId="0" applyFill="1"/>
    <xf numFmtId="0" fontId="0" fillId="0" borderId="0" xfId="0" applyAlignment="1">
      <alignment horizontal="left" textRotation="45"/>
    </xf>
    <xf numFmtId="0" fontId="0" fillId="0" borderId="0" xfId="3" applyNumberFormat="1" applyFont="1"/>
    <xf numFmtId="166" fontId="0" fillId="0" borderId="0" xfId="0" applyNumberFormat="1"/>
    <xf numFmtId="0" fontId="16" fillId="0" borderId="0" xfId="0" applyFont="1"/>
    <xf numFmtId="9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1" xfId="0" applyNumberFormat="1" applyBorder="1" applyAlignment="1">
      <alignment horizontal="center"/>
    </xf>
    <xf numFmtId="170" fontId="4" fillId="0" borderId="1" xfId="0" applyNumberFormat="1" applyFont="1" applyBorder="1"/>
    <xf numFmtId="0" fontId="2" fillId="7" borderId="2" xfId="0" applyFont="1" applyFill="1" applyBorder="1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0" fillId="0" borderId="0" xfId="0" applyAlignment="1">
      <alignment horizontal="center"/>
    </xf>
    <xf numFmtId="0" fontId="15" fillId="0" borderId="0" xfId="0" applyFont="1" applyAlignment="1">
      <alignment horizontal="left" vertical="center" wrapText="1" indent="2"/>
    </xf>
    <xf numFmtId="0" fontId="1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1" xfId="2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274320</xdr:colOff>
      <xdr:row>1</xdr:row>
      <xdr:rowOff>15240</xdr:rowOff>
    </xdr:from>
    <xdr:to>
      <xdr:col>13</xdr:col>
      <xdr:colOff>871671</xdr:colOff>
      <xdr:row>7</xdr:row>
      <xdr:rowOff>90044</xdr:rowOff>
    </xdr:to>
    <xdr:pic>
      <xdr:nvPicPr>
        <xdr:cNvPr id="2" name="Google Shape;215;p8">
          <a:extLst>
            <a:ext uri="{FF2B5EF4-FFF2-40B4-BE49-F238E27FC236}">
              <a16:creationId xmlns:a16="http://schemas.microsoft.com/office/drawing/2014/main" id="{F6B0A43B-51B5-E24E-4A3E-A6B422186A9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5821680" y="314960"/>
          <a:ext cx="3381191" cy="1172084"/>
        </a:xfrm>
        <a:prstGeom prst="rect">
          <a:avLst/>
        </a:prstGeom>
        <a:noFill/>
        <a:ln>
          <a:noFill/>
        </a:ln>
        <a:effectLst>
          <a:outerShdw blurRad="190500" algn="tl" rotWithShape="0">
            <a:srgbClr val="000000">
              <a:alpha val="69803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hnvi Patel" id="{6327A223-6AF2-45F5-9AD2-4D54992429C1}" userId="151bafa7ef0078c7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3-08-09T10:26:09.80" personId="{6327A223-6AF2-45F5-9AD2-4D54992429C1}" id="{5D65A82A-74E3-4B11-8878-4E44FE698445}">
    <text>Highest Salary</text>
  </threadedComment>
  <threadedComment ref="J2" dT="2023-08-09T10:26:09.80" personId="{6327A223-6AF2-45F5-9AD2-4D54992429C1}" id="{DCB8D60B-2C49-472B-93AF-7A7CC35356AD}">
    <text>Highest Salary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3-08-09T10:26:09.80" personId="{6327A223-6AF2-45F5-9AD2-4D54992429C1}" id="{EE220B20-884B-4834-BE6B-8976BEE38458}">
    <text>Highest Salary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learning.excelr.com/" TargetMode="Externa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A2D5-A1DC-4CF5-A178-7446A06819DA}">
  <dimension ref="A1:N12"/>
  <sheetViews>
    <sheetView zoomScale="90" workbookViewId="0">
      <selection activeCell="J11" sqref="J11"/>
    </sheetView>
  </sheetViews>
  <sheetFormatPr defaultRowHeight="15" x14ac:dyDescent="0.25"/>
  <cols>
    <col min="1" max="1" width="37.5703125" bestFit="1" customWidth="1"/>
    <col min="3" max="3" width="7.7109375" customWidth="1"/>
    <col min="4" max="4" width="12.42578125" bestFit="1" customWidth="1"/>
    <col min="5" max="5" width="12.28515625" bestFit="1" customWidth="1"/>
    <col min="6" max="6" width="11.28515625" bestFit="1" customWidth="1"/>
    <col min="9" max="9" width="10.28515625" bestFit="1" customWidth="1"/>
    <col min="10" max="10" width="10.7109375" bestFit="1" customWidth="1"/>
    <col min="11" max="11" width="10.28515625" customWidth="1"/>
    <col min="12" max="12" width="13.42578125" customWidth="1"/>
  </cols>
  <sheetData>
    <row r="1" spans="1:14" ht="21" x14ac:dyDescent="0.35">
      <c r="A1" s="14" t="s">
        <v>74</v>
      </c>
      <c r="F1" s="31" t="s">
        <v>155</v>
      </c>
      <c r="G1" s="31" t="s">
        <v>145</v>
      </c>
      <c r="H1" s="31" t="s">
        <v>141</v>
      </c>
      <c r="I1" s="31" t="s">
        <v>156</v>
      </c>
      <c r="J1" s="31" t="s">
        <v>146</v>
      </c>
      <c r="K1" s="31"/>
      <c r="L1" s="31"/>
      <c r="M1" s="31"/>
      <c r="N1" s="31"/>
    </row>
    <row r="2" spans="1:14" ht="21" x14ac:dyDescent="0.35">
      <c r="A2" s="13" t="s">
        <v>139</v>
      </c>
      <c r="F2" s="31">
        <v>2003</v>
      </c>
      <c r="G2" s="31">
        <v>65536</v>
      </c>
      <c r="H2" s="31">
        <v>256</v>
      </c>
      <c r="I2" s="31" t="s">
        <v>147</v>
      </c>
      <c r="J2" s="31"/>
      <c r="K2" s="31"/>
      <c r="L2" s="31"/>
      <c r="M2" s="31"/>
      <c r="N2" s="31"/>
    </row>
    <row r="3" spans="1:14" ht="21" hidden="1" x14ac:dyDescent="0.35">
      <c r="A3" s="13"/>
      <c r="F3" s="31"/>
      <c r="G3" s="31"/>
      <c r="H3" s="31"/>
      <c r="I3" s="31"/>
      <c r="J3" s="31"/>
      <c r="K3" s="31"/>
      <c r="L3" s="31"/>
      <c r="M3" s="31"/>
      <c r="N3" s="31"/>
    </row>
    <row r="4" spans="1:14" ht="21" x14ac:dyDescent="0.35">
      <c r="A4" s="13" t="s">
        <v>140</v>
      </c>
      <c r="F4" s="31">
        <v>2007</v>
      </c>
      <c r="G4" s="31">
        <v>1048576</v>
      </c>
      <c r="H4" s="31">
        <v>16384</v>
      </c>
      <c r="I4" s="31" t="s">
        <v>148</v>
      </c>
      <c r="J4" s="31"/>
      <c r="K4" s="31"/>
      <c r="L4" s="31"/>
      <c r="M4" s="31"/>
      <c r="N4" s="31"/>
    </row>
    <row r="5" spans="1:14" ht="21" x14ac:dyDescent="0.35">
      <c r="A5" s="13" t="s">
        <v>141</v>
      </c>
      <c r="B5" s="13"/>
      <c r="F5" s="31">
        <v>2010</v>
      </c>
      <c r="G5" s="31">
        <v>1048576</v>
      </c>
      <c r="H5" s="31">
        <v>16384</v>
      </c>
      <c r="I5" s="31" t="s">
        <v>148</v>
      </c>
      <c r="J5" s="31" t="s">
        <v>149</v>
      </c>
      <c r="K5" s="31" t="s">
        <v>150</v>
      </c>
      <c r="L5" s="31"/>
      <c r="M5" s="31"/>
      <c r="N5" s="31"/>
    </row>
    <row r="6" spans="1:14" ht="21" x14ac:dyDescent="0.35">
      <c r="A6" s="13" t="s">
        <v>142</v>
      </c>
      <c r="B6" s="13"/>
      <c r="F6" s="31">
        <v>2013</v>
      </c>
      <c r="G6" s="31">
        <v>1048576</v>
      </c>
      <c r="H6" s="31">
        <v>16384</v>
      </c>
      <c r="I6" s="31" t="s">
        <v>148</v>
      </c>
      <c r="J6" s="31" t="s">
        <v>149</v>
      </c>
      <c r="K6" s="31" t="s">
        <v>150</v>
      </c>
      <c r="L6" s="31" t="s">
        <v>151</v>
      </c>
      <c r="M6" s="31" t="s">
        <v>152</v>
      </c>
      <c r="N6" s="31"/>
    </row>
    <row r="7" spans="1:14" ht="21" x14ac:dyDescent="0.35">
      <c r="A7" s="13" t="s">
        <v>143</v>
      </c>
      <c r="F7" s="31">
        <v>2016</v>
      </c>
      <c r="G7" s="31">
        <v>1048576</v>
      </c>
      <c r="H7" s="31">
        <v>16384</v>
      </c>
      <c r="I7" s="31" t="s">
        <v>148</v>
      </c>
      <c r="J7" s="31" t="s">
        <v>149</v>
      </c>
      <c r="K7" s="31" t="s">
        <v>150</v>
      </c>
      <c r="L7" s="31" t="s">
        <v>151</v>
      </c>
      <c r="M7" s="31" t="s">
        <v>152</v>
      </c>
      <c r="N7" s="31" t="s">
        <v>153</v>
      </c>
    </row>
    <row r="8" spans="1:14" ht="21" x14ac:dyDescent="0.35">
      <c r="A8" s="13" t="s">
        <v>78</v>
      </c>
      <c r="F8" s="31">
        <v>2019</v>
      </c>
      <c r="G8" s="31">
        <v>1048576</v>
      </c>
      <c r="H8" s="31">
        <v>16384</v>
      </c>
      <c r="I8" s="31" t="s">
        <v>148</v>
      </c>
      <c r="J8" s="31" t="s">
        <v>149</v>
      </c>
      <c r="K8" s="31" t="s">
        <v>150</v>
      </c>
      <c r="L8" s="31" t="s">
        <v>151</v>
      </c>
      <c r="M8" s="31" t="s">
        <v>152</v>
      </c>
      <c r="N8" s="31" t="s">
        <v>153</v>
      </c>
    </row>
    <row r="9" spans="1:14" ht="21" x14ac:dyDescent="0.35">
      <c r="A9" s="13" t="s">
        <v>79</v>
      </c>
      <c r="F9" s="31">
        <v>2021</v>
      </c>
      <c r="G9" s="31">
        <v>1048576</v>
      </c>
      <c r="H9" s="31">
        <v>16384</v>
      </c>
      <c r="I9" s="31" t="s">
        <v>148</v>
      </c>
      <c r="J9" s="31" t="s">
        <v>149</v>
      </c>
      <c r="K9" s="31" t="s">
        <v>150</v>
      </c>
      <c r="L9" s="31" t="s">
        <v>151</v>
      </c>
      <c r="M9" s="31" t="s">
        <v>152</v>
      </c>
      <c r="N9" s="31" t="s">
        <v>153</v>
      </c>
    </row>
    <row r="10" spans="1:14" ht="21" x14ac:dyDescent="0.35">
      <c r="A10" s="13" t="s">
        <v>75</v>
      </c>
    </row>
    <row r="11" spans="1:14" ht="21" x14ac:dyDescent="0.35">
      <c r="A11" s="13" t="s">
        <v>76</v>
      </c>
    </row>
    <row r="12" spans="1:14" ht="21" x14ac:dyDescent="0.35">
      <c r="A12" s="13" t="s">
        <v>77</v>
      </c>
      <c r="F12" s="31"/>
      <c r="G12" s="31"/>
      <c r="H12" s="31"/>
      <c r="I12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8EAD-206E-4AB7-A6A2-AB3D97AF0BBC}">
  <dimension ref="A1:P19"/>
  <sheetViews>
    <sheetView topLeftCell="G1" zoomScale="83" zoomScaleNormal="150" workbookViewId="0">
      <selection activeCell="N18" sqref="N18"/>
    </sheetView>
  </sheetViews>
  <sheetFormatPr defaultRowHeight="15" x14ac:dyDescent="0.25"/>
  <cols>
    <col min="1" max="1" width="5" bestFit="1" customWidth="1"/>
    <col min="2" max="2" width="11.140625" bestFit="1" customWidth="1"/>
    <col min="3" max="3" width="14.140625" bestFit="1" customWidth="1"/>
    <col min="4" max="4" width="12.42578125" bestFit="1" customWidth="1"/>
    <col min="5" max="5" width="7.7109375" bestFit="1" customWidth="1"/>
    <col min="6" max="6" width="11" bestFit="1" customWidth="1"/>
    <col min="7" max="7" width="21.28515625" bestFit="1" customWidth="1"/>
    <col min="8" max="8" width="6.85546875" bestFit="1" customWidth="1"/>
    <col min="9" max="9" width="5.42578125" bestFit="1" customWidth="1"/>
    <col min="11" max="11" width="9.5703125" bestFit="1" customWidth="1"/>
    <col min="12" max="12" width="13.28515625" bestFit="1" customWidth="1"/>
    <col min="14" max="14" width="22.5703125" bestFit="1" customWidth="1"/>
    <col min="17" max="17" width="12" bestFit="1" customWidth="1"/>
    <col min="18" max="18" width="20.85546875" customWidth="1"/>
  </cols>
  <sheetData>
    <row r="1" spans="1:16" x14ac:dyDescent="0.25">
      <c r="A1" t="s">
        <v>47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108</v>
      </c>
      <c r="K2" s="5" t="s">
        <v>59</v>
      </c>
      <c r="L2" s="4" t="s">
        <v>48</v>
      </c>
      <c r="N2" t="s">
        <v>54</v>
      </c>
      <c r="P2" t="s">
        <v>55</v>
      </c>
    </row>
    <row r="3" spans="1:16" x14ac:dyDescent="0.25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34">
        <v>28126</v>
      </c>
      <c r="H3">
        <v>21875</v>
      </c>
      <c r="I3">
        <v>0.21</v>
      </c>
      <c r="L3" s="25" t="s">
        <v>49</v>
      </c>
    </row>
    <row r="4" spans="1:16" x14ac:dyDescent="0.25">
      <c r="A4">
        <v>2</v>
      </c>
      <c r="B4" t="s">
        <v>13</v>
      </c>
      <c r="C4" t="s">
        <v>14</v>
      </c>
      <c r="D4" t="s">
        <v>10</v>
      </c>
      <c r="E4" t="s">
        <v>15</v>
      </c>
      <c r="F4" t="s">
        <v>16</v>
      </c>
      <c r="G4" s="34">
        <v>28126</v>
      </c>
      <c r="H4">
        <v>17500</v>
      </c>
      <c r="I4">
        <v>0.17</v>
      </c>
      <c r="L4" s="26" t="s">
        <v>50</v>
      </c>
    </row>
    <row r="5" spans="1:16" x14ac:dyDescent="0.25">
      <c r="A5">
        <v>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34">
        <v>36220</v>
      </c>
      <c r="H5">
        <v>7000</v>
      </c>
      <c r="I5">
        <v>0.7</v>
      </c>
      <c r="L5" s="8" t="s">
        <v>51</v>
      </c>
      <c r="O5" s="8"/>
    </row>
    <row r="6" spans="1:16" x14ac:dyDescent="0.25">
      <c r="A6">
        <v>4</v>
      </c>
      <c r="B6" t="s">
        <v>22</v>
      </c>
      <c r="C6" t="s">
        <v>23</v>
      </c>
      <c r="D6" t="s">
        <v>24</v>
      </c>
      <c r="E6" t="s">
        <v>11</v>
      </c>
      <c r="F6" t="s">
        <v>25</v>
      </c>
      <c r="G6" s="34">
        <v>29183</v>
      </c>
      <c r="H6">
        <v>12250</v>
      </c>
      <c r="I6">
        <v>0.12</v>
      </c>
      <c r="L6" s="27" t="s">
        <v>52</v>
      </c>
    </row>
    <row r="7" spans="1:16" x14ac:dyDescent="0.25">
      <c r="A7">
        <v>5</v>
      </c>
      <c r="B7" t="s">
        <v>26</v>
      </c>
      <c r="C7" t="s">
        <v>27</v>
      </c>
      <c r="D7" t="s">
        <v>28</v>
      </c>
      <c r="E7" t="s">
        <v>11</v>
      </c>
      <c r="F7" t="s">
        <v>29</v>
      </c>
      <c r="G7" s="34">
        <v>32755</v>
      </c>
      <c r="H7">
        <v>21000</v>
      </c>
      <c r="I7">
        <v>0.21</v>
      </c>
      <c r="K7" s="41" t="s">
        <v>53</v>
      </c>
      <c r="L7" s="41"/>
      <c r="N7" s="4" t="s">
        <v>61</v>
      </c>
    </row>
    <row r="8" spans="1:16" x14ac:dyDescent="0.25">
      <c r="A8">
        <v>6</v>
      </c>
      <c r="B8" t="s">
        <v>30</v>
      </c>
      <c r="C8" t="s">
        <v>31</v>
      </c>
      <c r="D8" t="s">
        <v>28</v>
      </c>
      <c r="E8" t="s">
        <v>11</v>
      </c>
      <c r="F8" t="s">
        <v>32</v>
      </c>
      <c r="G8" s="34">
        <v>32390</v>
      </c>
      <c r="H8">
        <v>12425</v>
      </c>
      <c r="I8">
        <v>0.12</v>
      </c>
      <c r="K8" s="41"/>
      <c r="L8" s="41"/>
      <c r="N8" s="29">
        <v>12345</v>
      </c>
    </row>
    <row r="9" spans="1:16" ht="58.5" x14ac:dyDescent="0.25">
      <c r="A9">
        <v>7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s="34">
        <v>33102</v>
      </c>
      <c r="H9">
        <v>13825</v>
      </c>
      <c r="I9">
        <v>0.13</v>
      </c>
      <c r="K9" s="6" t="s">
        <v>60</v>
      </c>
      <c r="L9" s="28" t="s">
        <v>56</v>
      </c>
    </row>
    <row r="10" spans="1:16" x14ac:dyDescent="0.25">
      <c r="A10">
        <v>8</v>
      </c>
      <c r="B10" t="s">
        <v>38</v>
      </c>
      <c r="C10" t="s">
        <v>39</v>
      </c>
      <c r="D10" t="s">
        <v>28</v>
      </c>
      <c r="E10" t="s">
        <v>11</v>
      </c>
      <c r="F10" t="s">
        <v>40</v>
      </c>
      <c r="G10" s="34">
        <v>32755</v>
      </c>
      <c r="H10">
        <v>12425</v>
      </c>
      <c r="I10">
        <v>0.12</v>
      </c>
      <c r="N10" s="4" t="s">
        <v>62</v>
      </c>
    </row>
    <row r="11" spans="1:16" x14ac:dyDescent="0.25">
      <c r="A11">
        <v>9</v>
      </c>
      <c r="B11" t="s">
        <v>41</v>
      </c>
      <c r="C11" t="s">
        <v>42</v>
      </c>
      <c r="D11" t="s">
        <v>10</v>
      </c>
      <c r="E11" t="s">
        <v>11</v>
      </c>
      <c r="F11" t="s">
        <v>43</v>
      </c>
      <c r="G11" s="34">
        <v>36506</v>
      </c>
      <c r="H11">
        <v>14875</v>
      </c>
      <c r="I11">
        <v>0.14000000000000001</v>
      </c>
      <c r="L11" s="40" t="s">
        <v>57</v>
      </c>
      <c r="N11" s="30">
        <v>45160</v>
      </c>
    </row>
    <row r="12" spans="1:16" x14ac:dyDescent="0.25">
      <c r="A12">
        <v>10</v>
      </c>
      <c r="B12" t="s">
        <v>44</v>
      </c>
      <c r="C12" t="s">
        <v>45</v>
      </c>
      <c r="D12" t="s">
        <v>24</v>
      </c>
      <c r="E12" t="s">
        <v>15</v>
      </c>
      <c r="F12" t="s">
        <v>46</v>
      </c>
      <c r="G12" s="34">
        <v>28326</v>
      </c>
      <c r="H12">
        <v>15750</v>
      </c>
      <c r="I12">
        <v>0.15</v>
      </c>
      <c r="L12" s="40"/>
    </row>
    <row r="15" spans="1:16" x14ac:dyDescent="0.25">
      <c r="L15" t="s">
        <v>58</v>
      </c>
    </row>
    <row r="19" spans="8:8" x14ac:dyDescent="0.25">
      <c r="H19" t="s">
        <v>173</v>
      </c>
    </row>
  </sheetData>
  <mergeCells count="2">
    <mergeCell ref="L11:L12"/>
    <mergeCell ref="K7:L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EC4C-A8F6-4CA5-825C-A5D7C959CB27}">
  <dimension ref="A2:I20"/>
  <sheetViews>
    <sheetView workbookViewId="0">
      <selection activeCell="F19" sqref="F19"/>
    </sheetView>
  </sheetViews>
  <sheetFormatPr defaultRowHeight="15" x14ac:dyDescent="0.25"/>
  <cols>
    <col min="8" max="8" width="26.28515625" bestFit="1" customWidth="1"/>
    <col min="9" max="9" width="54" bestFit="1" customWidth="1"/>
  </cols>
  <sheetData>
    <row r="2" spans="1:9" x14ac:dyDescent="0.25">
      <c r="H2" t="s">
        <v>168</v>
      </c>
    </row>
    <row r="3" spans="1:9" x14ac:dyDescent="0.25">
      <c r="A3" t="s">
        <v>163</v>
      </c>
      <c r="B3" t="s">
        <v>164</v>
      </c>
      <c r="C3" t="s">
        <v>165</v>
      </c>
      <c r="H3" t="s">
        <v>169</v>
      </c>
      <c r="I3" t="s">
        <v>170</v>
      </c>
    </row>
    <row r="4" spans="1:9" x14ac:dyDescent="0.25">
      <c r="A4">
        <v>1</v>
      </c>
      <c r="B4" t="s">
        <v>166</v>
      </c>
      <c r="C4">
        <v>123</v>
      </c>
      <c r="I4" t="s">
        <v>171</v>
      </c>
    </row>
    <row r="5" spans="1:9" x14ac:dyDescent="0.25">
      <c r="A5">
        <v>2</v>
      </c>
      <c r="B5" t="s">
        <v>85</v>
      </c>
      <c r="C5">
        <v>456</v>
      </c>
    </row>
    <row r="6" spans="1:9" x14ac:dyDescent="0.25">
      <c r="A6">
        <v>3</v>
      </c>
      <c r="B6" t="s">
        <v>167</v>
      </c>
      <c r="C6">
        <v>789</v>
      </c>
      <c r="H6" t="s">
        <v>172</v>
      </c>
      <c r="I6" t="s">
        <v>175</v>
      </c>
    </row>
    <row r="7" spans="1:9" x14ac:dyDescent="0.25">
      <c r="A7">
        <v>4</v>
      </c>
      <c r="B7" t="s">
        <v>26</v>
      </c>
      <c r="C7">
        <v>159</v>
      </c>
      <c r="H7" t="s">
        <v>174</v>
      </c>
      <c r="I7" t="s">
        <v>176</v>
      </c>
    </row>
    <row r="10" spans="1:9" x14ac:dyDescent="0.25">
      <c r="H10" t="s">
        <v>177</v>
      </c>
    </row>
    <row r="11" spans="1:9" x14ac:dyDescent="0.25">
      <c r="H11" t="s">
        <v>178</v>
      </c>
      <c r="I11" t="s">
        <v>179</v>
      </c>
    </row>
    <row r="12" spans="1:9" x14ac:dyDescent="0.25">
      <c r="H12" t="s">
        <v>180</v>
      </c>
      <c r="I12" t="s">
        <v>181</v>
      </c>
    </row>
    <row r="13" spans="1:9" x14ac:dyDescent="0.25">
      <c r="H13" t="s">
        <v>182</v>
      </c>
      <c r="I13" t="s">
        <v>183</v>
      </c>
    </row>
    <row r="15" spans="1:9" x14ac:dyDescent="0.25">
      <c r="H15" t="s">
        <v>184</v>
      </c>
      <c r="I15" t="s">
        <v>187</v>
      </c>
    </row>
    <row r="16" spans="1:9" x14ac:dyDescent="0.25">
      <c r="H16" t="s">
        <v>185</v>
      </c>
      <c r="I16" t="s">
        <v>186</v>
      </c>
    </row>
    <row r="17" spans="8:9" x14ac:dyDescent="0.25">
      <c r="H17" t="s">
        <v>188</v>
      </c>
      <c r="I17" t="s">
        <v>189</v>
      </c>
    </row>
    <row r="19" spans="8:9" x14ac:dyDescent="0.25">
      <c r="H19" t="s">
        <v>190</v>
      </c>
      <c r="I19" t="s">
        <v>191</v>
      </c>
    </row>
    <row r="20" spans="8:9" x14ac:dyDescent="0.25">
      <c r="I20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E8C4-4B97-453F-8BC4-D5C4C9A52CA0}">
  <dimension ref="A1:Q21"/>
  <sheetViews>
    <sheetView workbookViewId="0">
      <selection activeCell="I13" sqref="I13"/>
    </sheetView>
  </sheetViews>
  <sheetFormatPr defaultRowHeight="15" x14ac:dyDescent="0.25"/>
  <cols>
    <col min="1" max="1" width="6.28515625" bestFit="1" customWidth="1"/>
    <col min="2" max="3" width="8.28515625" customWidth="1"/>
    <col min="4" max="4" width="21.42578125" customWidth="1"/>
    <col min="5" max="5" width="5.140625" bestFit="1" customWidth="1"/>
    <col min="6" max="6" width="11.42578125" bestFit="1" customWidth="1"/>
    <col min="7" max="7" width="6.7109375" bestFit="1" customWidth="1"/>
    <col min="8" max="8" width="10.85546875" bestFit="1" customWidth="1"/>
    <col min="9" max="9" width="11.85546875" customWidth="1"/>
    <col min="10" max="10" width="9.5703125" customWidth="1"/>
    <col min="11" max="11" width="31.140625" bestFit="1" customWidth="1"/>
    <col min="13" max="13" width="26.140625" customWidth="1"/>
    <col min="14" max="15" width="10.28515625" bestFit="1" customWidth="1"/>
    <col min="16" max="16" width="8.85546875" customWidth="1"/>
    <col min="17" max="17" width="15.7109375" customWidth="1"/>
  </cols>
  <sheetData>
    <row r="1" spans="1:17" x14ac:dyDescent="0.25">
      <c r="A1" s="9" t="s">
        <v>63</v>
      </c>
      <c r="B1" s="9" t="s">
        <v>110</v>
      </c>
      <c r="C1" s="9" t="s">
        <v>111</v>
      </c>
      <c r="D1" s="9" t="s">
        <v>62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68</v>
      </c>
      <c r="K1" s="37" t="s">
        <v>244</v>
      </c>
      <c r="M1" t="s">
        <v>157</v>
      </c>
      <c r="N1" t="s">
        <v>158</v>
      </c>
      <c r="O1" t="s">
        <v>159</v>
      </c>
      <c r="P1" t="s">
        <v>160</v>
      </c>
      <c r="Q1" s="4"/>
    </row>
    <row r="2" spans="1:17" x14ac:dyDescent="0.25">
      <c r="A2" s="7">
        <v>1</v>
      </c>
      <c r="B2" s="7"/>
      <c r="C2" s="7"/>
      <c r="D2" s="35">
        <v>45161</v>
      </c>
      <c r="E2" s="7" t="s">
        <v>109</v>
      </c>
      <c r="F2" s="7" t="s">
        <v>103</v>
      </c>
      <c r="G2" s="7" t="s">
        <v>220</v>
      </c>
      <c r="H2" s="7" t="s">
        <v>70</v>
      </c>
      <c r="I2" s="7" t="s">
        <v>71</v>
      </c>
      <c r="J2" s="7" t="s">
        <v>144</v>
      </c>
      <c r="K2" s="36">
        <v>28126</v>
      </c>
      <c r="M2" t="s">
        <v>127</v>
      </c>
      <c r="N2" t="s">
        <v>129</v>
      </c>
      <c r="Q2" s="4"/>
    </row>
    <row r="3" spans="1:17" x14ac:dyDescent="0.25">
      <c r="A3" s="7"/>
      <c r="B3" s="7"/>
      <c r="C3" s="7"/>
      <c r="D3" s="35">
        <v>45162</v>
      </c>
      <c r="E3" s="7" t="s">
        <v>196</v>
      </c>
      <c r="F3" s="7" t="s">
        <v>104</v>
      </c>
      <c r="G3" s="7" t="s">
        <v>221</v>
      </c>
      <c r="H3" s="7" t="s">
        <v>210</v>
      </c>
      <c r="I3" s="7" t="s">
        <v>222</v>
      </c>
      <c r="J3" s="7" t="s">
        <v>241</v>
      </c>
      <c r="M3" t="s">
        <v>128</v>
      </c>
      <c r="N3" t="s">
        <v>130</v>
      </c>
      <c r="Q3" s="4"/>
    </row>
    <row r="4" spans="1:17" x14ac:dyDescent="0.25">
      <c r="A4" s="7"/>
      <c r="B4" s="7"/>
      <c r="C4" s="7"/>
      <c r="D4" s="35">
        <v>45163</v>
      </c>
      <c r="E4" s="7" t="s">
        <v>197</v>
      </c>
      <c r="F4" s="7" t="s">
        <v>105</v>
      </c>
      <c r="G4" s="7" t="s">
        <v>211</v>
      </c>
      <c r="H4" s="7" t="s">
        <v>200</v>
      </c>
      <c r="I4" s="7" t="s">
        <v>223</v>
      </c>
      <c r="J4" s="7" t="s">
        <v>242</v>
      </c>
      <c r="M4" s="23" t="s">
        <v>126</v>
      </c>
      <c r="N4" s="23" t="s">
        <v>131</v>
      </c>
      <c r="Q4" s="4"/>
    </row>
    <row r="5" spans="1:17" x14ac:dyDescent="0.25">
      <c r="A5" s="7"/>
      <c r="B5" s="7"/>
      <c r="C5" s="7"/>
      <c r="D5" s="35">
        <v>45166</v>
      </c>
      <c r="E5" s="7" t="s">
        <v>198</v>
      </c>
      <c r="F5" s="7" t="s">
        <v>69</v>
      </c>
      <c r="G5" s="7" t="s">
        <v>212</v>
      </c>
      <c r="H5" s="7" t="s">
        <v>201</v>
      </c>
      <c r="I5" s="7" t="s">
        <v>224</v>
      </c>
      <c r="J5" s="7" t="s">
        <v>243</v>
      </c>
      <c r="M5" s="23" t="s">
        <v>132</v>
      </c>
      <c r="N5" s="23" t="s">
        <v>133</v>
      </c>
      <c r="Q5" s="4"/>
    </row>
    <row r="6" spans="1:17" x14ac:dyDescent="0.25">
      <c r="A6" s="7"/>
      <c r="B6" s="7"/>
      <c r="C6" s="7"/>
      <c r="D6" s="35">
        <v>45167</v>
      </c>
      <c r="E6" s="7" t="s">
        <v>199</v>
      </c>
      <c r="F6" s="7" t="s">
        <v>102</v>
      </c>
      <c r="G6" s="7" t="s">
        <v>202</v>
      </c>
      <c r="H6" s="7" t="s">
        <v>202</v>
      </c>
      <c r="I6" s="7" t="s">
        <v>225</v>
      </c>
      <c r="J6" s="7" t="s">
        <v>144</v>
      </c>
    </row>
    <row r="7" spans="1:17" x14ac:dyDescent="0.25">
      <c r="A7" s="7"/>
      <c r="B7" s="7"/>
      <c r="C7" s="7"/>
      <c r="D7" s="35">
        <v>45168</v>
      </c>
      <c r="E7" s="7" t="s">
        <v>109</v>
      </c>
      <c r="F7" s="7" t="s">
        <v>103</v>
      </c>
      <c r="G7" s="7" t="s">
        <v>213</v>
      </c>
      <c r="H7" s="7" t="s">
        <v>203</v>
      </c>
      <c r="I7" s="7" t="s">
        <v>226</v>
      </c>
      <c r="J7" s="7" t="s">
        <v>241</v>
      </c>
    </row>
    <row r="8" spans="1:17" ht="15.75" x14ac:dyDescent="0.25">
      <c r="A8" s="7"/>
      <c r="B8" s="7"/>
      <c r="C8" s="7"/>
      <c r="D8" s="35">
        <v>45169</v>
      </c>
      <c r="E8" s="7" t="s">
        <v>196</v>
      </c>
      <c r="F8" s="7" t="s">
        <v>104</v>
      </c>
      <c r="G8" s="7" t="s">
        <v>214</v>
      </c>
      <c r="H8" s="7" t="s">
        <v>204</v>
      </c>
      <c r="I8" s="7" t="s">
        <v>227</v>
      </c>
      <c r="J8" s="7" t="s">
        <v>242</v>
      </c>
      <c r="L8" s="42" t="s">
        <v>194</v>
      </c>
      <c r="M8" s="42"/>
      <c r="O8" s="43" t="s">
        <v>195</v>
      </c>
      <c r="P8" s="43"/>
      <c r="Q8" s="43"/>
    </row>
    <row r="9" spans="1:17" x14ac:dyDescent="0.25">
      <c r="A9" s="7"/>
      <c r="B9" s="7"/>
      <c r="C9" s="7"/>
      <c r="D9" s="35">
        <v>45170</v>
      </c>
      <c r="E9" s="7" t="s">
        <v>197</v>
      </c>
      <c r="F9" s="7" t="s">
        <v>105</v>
      </c>
      <c r="G9" s="7" t="s">
        <v>215</v>
      </c>
      <c r="H9" s="7" t="s">
        <v>205</v>
      </c>
      <c r="I9" s="7" t="s">
        <v>228</v>
      </c>
      <c r="J9" s="7" t="s">
        <v>243</v>
      </c>
      <c r="L9">
        <v>5</v>
      </c>
      <c r="M9">
        <v>1</v>
      </c>
      <c r="O9">
        <v>2</v>
      </c>
    </row>
    <row r="10" spans="1:17" x14ac:dyDescent="0.25">
      <c r="A10" s="7"/>
      <c r="B10" s="7"/>
      <c r="C10" s="7"/>
      <c r="D10" s="35">
        <v>45173</v>
      </c>
      <c r="E10" s="7" t="s">
        <v>198</v>
      </c>
      <c r="F10" s="7" t="s">
        <v>69</v>
      </c>
      <c r="G10" s="7" t="s">
        <v>216</v>
      </c>
      <c r="H10" s="7" t="s">
        <v>206</v>
      </c>
      <c r="I10" s="7" t="s">
        <v>229</v>
      </c>
      <c r="J10" s="7" t="s">
        <v>144</v>
      </c>
      <c r="L10">
        <v>10</v>
      </c>
      <c r="M10">
        <v>2</v>
      </c>
      <c r="O10">
        <v>4</v>
      </c>
    </row>
    <row r="11" spans="1:17" x14ac:dyDescent="0.25">
      <c r="A11" s="7"/>
      <c r="B11" s="7"/>
      <c r="C11" s="7"/>
      <c r="D11" s="35">
        <v>45174</v>
      </c>
      <c r="E11" s="7" t="s">
        <v>199</v>
      </c>
      <c r="F11" s="7" t="s">
        <v>102</v>
      </c>
      <c r="G11" s="7" t="s">
        <v>217</v>
      </c>
      <c r="H11" s="7" t="s">
        <v>207</v>
      </c>
      <c r="I11" s="7" t="s">
        <v>230</v>
      </c>
      <c r="J11" s="7" t="s">
        <v>241</v>
      </c>
      <c r="L11">
        <v>15</v>
      </c>
      <c r="M11">
        <v>3</v>
      </c>
      <c r="O11">
        <v>8</v>
      </c>
    </row>
    <row r="12" spans="1:17" x14ac:dyDescent="0.25">
      <c r="A12" s="7"/>
      <c r="B12" s="7"/>
      <c r="C12" s="7"/>
      <c r="D12" s="35">
        <v>45175</v>
      </c>
      <c r="E12" s="7" t="s">
        <v>109</v>
      </c>
      <c r="F12" s="7" t="s">
        <v>103</v>
      </c>
      <c r="G12" s="7" t="s">
        <v>218</v>
      </c>
      <c r="H12" s="7" t="s">
        <v>208</v>
      </c>
      <c r="I12" s="7" t="s">
        <v>231</v>
      </c>
      <c r="J12" s="7" t="s">
        <v>242</v>
      </c>
      <c r="L12">
        <v>20</v>
      </c>
      <c r="M12">
        <v>4</v>
      </c>
      <c r="O12">
        <v>16</v>
      </c>
    </row>
    <row r="13" spans="1:17" x14ac:dyDescent="0.25">
      <c r="A13" s="7"/>
      <c r="B13" s="7"/>
      <c r="C13" s="7"/>
      <c r="D13" s="35">
        <v>45176</v>
      </c>
      <c r="E13" s="7" t="s">
        <v>196</v>
      </c>
      <c r="F13" s="7" t="s">
        <v>104</v>
      </c>
      <c r="G13" s="7" t="s">
        <v>219</v>
      </c>
      <c r="H13" s="7" t="s">
        <v>209</v>
      </c>
      <c r="I13" s="7" t="s">
        <v>232</v>
      </c>
      <c r="J13" s="7" t="s">
        <v>243</v>
      </c>
      <c r="L13">
        <v>25</v>
      </c>
      <c r="M13">
        <v>5</v>
      </c>
      <c r="O13">
        <v>32</v>
      </c>
    </row>
    <row r="14" spans="1:17" x14ac:dyDescent="0.25">
      <c r="A14" s="7"/>
      <c r="B14" s="7"/>
      <c r="C14" s="7"/>
      <c r="D14" s="35">
        <v>45177</v>
      </c>
      <c r="E14" s="7" t="s">
        <v>197</v>
      </c>
      <c r="F14" s="7" t="s">
        <v>105</v>
      </c>
      <c r="G14" s="7" t="s">
        <v>220</v>
      </c>
      <c r="H14" s="7" t="s">
        <v>70</v>
      </c>
      <c r="I14" s="7" t="s">
        <v>233</v>
      </c>
      <c r="J14" s="7" t="s">
        <v>144</v>
      </c>
      <c r="L14">
        <v>30</v>
      </c>
      <c r="M14">
        <v>6</v>
      </c>
    </row>
    <row r="15" spans="1:17" x14ac:dyDescent="0.25">
      <c r="A15" s="7"/>
      <c r="B15" s="7"/>
      <c r="C15" s="7"/>
      <c r="D15" s="35">
        <v>45180</v>
      </c>
      <c r="E15" s="7" t="s">
        <v>198</v>
      </c>
      <c r="F15" s="7" t="s">
        <v>69</v>
      </c>
      <c r="G15" s="7" t="s">
        <v>221</v>
      </c>
      <c r="H15" s="7" t="s">
        <v>210</v>
      </c>
      <c r="I15" s="7" t="s">
        <v>234</v>
      </c>
      <c r="J15" s="7" t="s">
        <v>241</v>
      </c>
      <c r="L15">
        <v>35</v>
      </c>
      <c r="M15">
        <v>7</v>
      </c>
    </row>
    <row r="16" spans="1:17" x14ac:dyDescent="0.25">
      <c r="A16" s="7"/>
      <c r="B16" s="7"/>
      <c r="C16" s="7"/>
      <c r="D16" s="35">
        <v>45181</v>
      </c>
      <c r="E16" s="7" t="s">
        <v>199</v>
      </c>
      <c r="F16" s="7" t="s">
        <v>102</v>
      </c>
      <c r="G16" s="7" t="s">
        <v>211</v>
      </c>
      <c r="H16" s="7" t="s">
        <v>200</v>
      </c>
      <c r="I16" s="7" t="s">
        <v>235</v>
      </c>
      <c r="J16" s="7" t="s">
        <v>242</v>
      </c>
      <c r="L16">
        <v>40</v>
      </c>
      <c r="M16">
        <v>8</v>
      </c>
    </row>
    <row r="17" spans="1:13" x14ac:dyDescent="0.25">
      <c r="A17" s="7"/>
      <c r="B17" s="7"/>
      <c r="C17" s="7"/>
      <c r="D17" s="35">
        <v>45182</v>
      </c>
      <c r="E17" s="7" t="s">
        <v>109</v>
      </c>
      <c r="F17" s="7" t="s">
        <v>103</v>
      </c>
      <c r="G17" s="7" t="s">
        <v>212</v>
      </c>
      <c r="H17" s="7" t="s">
        <v>201</v>
      </c>
      <c r="I17" s="7" t="s">
        <v>236</v>
      </c>
      <c r="J17" s="7" t="s">
        <v>243</v>
      </c>
      <c r="L17">
        <v>45</v>
      </c>
      <c r="M17">
        <v>9</v>
      </c>
    </row>
    <row r="18" spans="1:13" x14ac:dyDescent="0.25">
      <c r="A18" s="7"/>
      <c r="B18" s="7"/>
      <c r="C18" s="7"/>
      <c r="D18" s="35">
        <v>45183</v>
      </c>
      <c r="E18" s="7" t="s">
        <v>196</v>
      </c>
      <c r="F18" s="7" t="s">
        <v>104</v>
      </c>
      <c r="G18" s="7" t="s">
        <v>202</v>
      </c>
      <c r="H18" s="7" t="s">
        <v>202</v>
      </c>
      <c r="I18" s="7" t="s">
        <v>237</v>
      </c>
      <c r="J18" s="7" t="s">
        <v>144</v>
      </c>
      <c r="L18">
        <v>50</v>
      </c>
      <c r="M18">
        <v>10</v>
      </c>
    </row>
    <row r="19" spans="1:13" x14ac:dyDescent="0.25">
      <c r="A19" s="7"/>
      <c r="B19" s="7"/>
      <c r="C19" s="7"/>
      <c r="D19" s="35">
        <v>45184</v>
      </c>
      <c r="E19" s="7" t="s">
        <v>197</v>
      </c>
      <c r="F19" s="7" t="s">
        <v>105</v>
      </c>
      <c r="G19" s="7" t="s">
        <v>213</v>
      </c>
      <c r="H19" s="7" t="s">
        <v>203</v>
      </c>
      <c r="I19" s="7" t="s">
        <v>238</v>
      </c>
      <c r="J19" s="7" t="s">
        <v>241</v>
      </c>
    </row>
    <row r="20" spans="1:13" x14ac:dyDescent="0.25">
      <c r="A20" s="7"/>
      <c r="B20" s="7"/>
      <c r="C20" s="7"/>
      <c r="D20" s="35">
        <v>45187</v>
      </c>
      <c r="E20" s="7" t="s">
        <v>198</v>
      </c>
      <c r="F20" s="7" t="s">
        <v>69</v>
      </c>
      <c r="G20" s="7" t="s">
        <v>214</v>
      </c>
      <c r="H20" s="7" t="s">
        <v>204</v>
      </c>
      <c r="I20" s="7" t="s">
        <v>239</v>
      </c>
      <c r="J20" s="7" t="s">
        <v>242</v>
      </c>
    </row>
    <row r="21" spans="1:13" x14ac:dyDescent="0.25">
      <c r="A21" s="7"/>
      <c r="B21" s="7"/>
      <c r="C21" s="7"/>
      <c r="D21" s="35">
        <v>45188</v>
      </c>
      <c r="E21" s="7" t="s">
        <v>199</v>
      </c>
      <c r="F21" s="7" t="s">
        <v>102</v>
      </c>
      <c r="G21" s="7" t="s">
        <v>215</v>
      </c>
      <c r="H21" s="7" t="s">
        <v>205</v>
      </c>
      <c r="I21" s="7" t="s">
        <v>240</v>
      </c>
      <c r="J21" s="7" t="s">
        <v>243</v>
      </c>
    </row>
  </sheetData>
  <mergeCells count="2">
    <mergeCell ref="L8:M8"/>
    <mergeCell ref="O8:Q8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8346-B341-48B8-B972-93461B610BBF}">
  <dimension ref="A1:M21"/>
  <sheetViews>
    <sheetView workbookViewId="0">
      <selection activeCell="J16" sqref="J16"/>
    </sheetView>
  </sheetViews>
  <sheetFormatPr defaultRowHeight="15" x14ac:dyDescent="0.25"/>
  <cols>
    <col min="1" max="1" width="6" bestFit="1" customWidth="1"/>
    <col min="2" max="2" width="9.7109375" bestFit="1" customWidth="1"/>
    <col min="3" max="3" width="12.28515625" bestFit="1" customWidth="1"/>
    <col min="4" max="4" width="12.28515625" customWidth="1"/>
    <col min="5" max="5" width="18.85546875" bestFit="1" customWidth="1"/>
    <col min="6" max="6" width="33.85546875" bestFit="1" customWidth="1"/>
    <col min="7" max="7" width="18.85546875" bestFit="1" customWidth="1"/>
    <col min="8" max="8" width="10.7109375" style="15" bestFit="1" customWidth="1"/>
    <col min="12" max="12" width="10.42578125" bestFit="1" customWidth="1"/>
    <col min="13" max="13" width="10.7109375" bestFit="1" customWidth="1"/>
  </cols>
  <sheetData>
    <row r="1" spans="1:13" x14ac:dyDescent="0.25">
      <c r="A1" s="44" t="s">
        <v>161</v>
      </c>
      <c r="B1" s="44"/>
      <c r="C1" s="44"/>
    </row>
    <row r="2" spans="1:13" x14ac:dyDescent="0.25">
      <c r="A2" s="17" t="s">
        <v>80</v>
      </c>
      <c r="B2" s="17" t="s">
        <v>82</v>
      </c>
      <c r="C2" s="17" t="s">
        <v>2</v>
      </c>
      <c r="D2" s="17" t="s">
        <v>97</v>
      </c>
      <c r="E2" s="17" t="s">
        <v>96</v>
      </c>
      <c r="F2" s="17" t="s">
        <v>98</v>
      </c>
      <c r="G2" s="17" t="s">
        <v>94</v>
      </c>
      <c r="H2" s="18" t="s">
        <v>6</v>
      </c>
      <c r="I2" s="17" t="s">
        <v>64</v>
      </c>
      <c r="J2" s="17" t="s">
        <v>66</v>
      </c>
      <c r="K2" s="17" t="s">
        <v>95</v>
      </c>
      <c r="L2" s="17" t="s">
        <v>100</v>
      </c>
      <c r="M2" s="17" t="s">
        <v>101</v>
      </c>
    </row>
    <row r="3" spans="1:13" x14ac:dyDescent="0.25">
      <c r="A3" s="8">
        <v>1</v>
      </c>
      <c r="B3" s="8" t="s">
        <v>83</v>
      </c>
      <c r="C3" s="8" t="s">
        <v>99</v>
      </c>
      <c r="D3" s="8">
        <v>35</v>
      </c>
      <c r="E3" s="8" t="s">
        <v>245</v>
      </c>
      <c r="F3" s="8" t="s">
        <v>256</v>
      </c>
      <c r="G3" s="8" t="s">
        <v>267</v>
      </c>
      <c r="H3" s="16">
        <v>27871</v>
      </c>
      <c r="I3" s="8">
        <v>21</v>
      </c>
      <c r="J3" s="8">
        <v>4</v>
      </c>
      <c r="K3" s="8"/>
      <c r="L3" s="8" t="s">
        <v>69</v>
      </c>
      <c r="M3" s="16">
        <f>H3</f>
        <v>27871</v>
      </c>
    </row>
    <row r="4" spans="1:13" x14ac:dyDescent="0.25">
      <c r="A4" s="8">
        <v>2</v>
      </c>
      <c r="B4" s="8" t="s">
        <v>84</v>
      </c>
      <c r="C4" s="8" t="s">
        <v>14</v>
      </c>
      <c r="D4" s="8">
        <v>33</v>
      </c>
      <c r="E4" s="8" t="s">
        <v>246</v>
      </c>
      <c r="F4" s="8" t="s">
        <v>257</v>
      </c>
      <c r="G4" s="8" t="s">
        <v>268</v>
      </c>
      <c r="H4" s="16">
        <v>28318</v>
      </c>
      <c r="I4" s="8">
        <v>12</v>
      </c>
      <c r="J4" s="8">
        <v>7</v>
      </c>
      <c r="K4" s="8"/>
      <c r="L4" s="8" t="s">
        <v>102</v>
      </c>
      <c r="M4" s="16">
        <f t="shared" ref="M4:M13" si="0">H4</f>
        <v>28318</v>
      </c>
    </row>
    <row r="5" spans="1:13" x14ac:dyDescent="0.25">
      <c r="A5" s="8">
        <v>3</v>
      </c>
      <c r="B5" s="8" t="s">
        <v>85</v>
      </c>
      <c r="C5" s="8" t="s">
        <v>18</v>
      </c>
      <c r="D5" s="8">
        <v>28</v>
      </c>
      <c r="E5" s="8" t="s">
        <v>247</v>
      </c>
      <c r="F5" s="8" t="s">
        <v>258</v>
      </c>
      <c r="G5" s="8" t="s">
        <v>269</v>
      </c>
      <c r="H5" s="16">
        <v>36220</v>
      </c>
      <c r="I5" s="8">
        <v>1</v>
      </c>
      <c r="J5" s="8">
        <v>3</v>
      </c>
      <c r="K5" s="8"/>
      <c r="L5" s="8" t="s">
        <v>103</v>
      </c>
      <c r="M5" s="16">
        <f t="shared" si="0"/>
        <v>36220</v>
      </c>
    </row>
    <row r="6" spans="1:13" x14ac:dyDescent="0.25">
      <c r="A6" s="8">
        <v>4</v>
      </c>
      <c r="B6" s="8" t="s">
        <v>86</v>
      </c>
      <c r="C6" s="8" t="s">
        <v>23</v>
      </c>
      <c r="D6" s="8">
        <v>46</v>
      </c>
      <c r="E6" s="8" t="s">
        <v>248</v>
      </c>
      <c r="F6" s="8" t="s">
        <v>259</v>
      </c>
      <c r="G6" s="8" t="s">
        <v>270</v>
      </c>
      <c r="H6" s="16">
        <v>29183</v>
      </c>
      <c r="I6" s="8">
        <v>24</v>
      </c>
      <c r="J6" s="8">
        <v>11</v>
      </c>
      <c r="K6" s="8"/>
      <c r="L6" s="8" t="s">
        <v>104</v>
      </c>
      <c r="M6" s="16">
        <f t="shared" si="0"/>
        <v>29183</v>
      </c>
    </row>
    <row r="7" spans="1:13" x14ac:dyDescent="0.25">
      <c r="A7" s="8">
        <v>5</v>
      </c>
      <c r="B7" s="8" t="s">
        <v>87</v>
      </c>
      <c r="C7" s="8" t="s">
        <v>27</v>
      </c>
      <c r="D7" s="8">
        <v>26</v>
      </c>
      <c r="E7" s="8" t="s">
        <v>249</v>
      </c>
      <c r="F7" s="8" t="s">
        <v>260</v>
      </c>
      <c r="G7" s="8" t="s">
        <v>271</v>
      </c>
      <c r="H7" s="16">
        <v>32755</v>
      </c>
      <c r="I7" s="8">
        <v>4</v>
      </c>
      <c r="J7" s="8">
        <v>9</v>
      </c>
      <c r="K7" s="8"/>
      <c r="L7" s="8" t="s">
        <v>105</v>
      </c>
      <c r="M7" s="16">
        <f t="shared" si="0"/>
        <v>32755</v>
      </c>
    </row>
    <row r="8" spans="1:13" x14ac:dyDescent="0.25">
      <c r="A8" s="8">
        <v>6</v>
      </c>
      <c r="B8" s="8" t="s">
        <v>88</v>
      </c>
      <c r="C8" s="8" t="s">
        <v>31</v>
      </c>
      <c r="D8" s="8">
        <v>36</v>
      </c>
      <c r="E8" s="8" t="s">
        <v>250</v>
      </c>
      <c r="F8" s="8" t="s">
        <v>261</v>
      </c>
      <c r="G8" s="8" t="s">
        <v>272</v>
      </c>
      <c r="H8" s="16">
        <v>32390</v>
      </c>
      <c r="I8" s="8">
        <v>4</v>
      </c>
      <c r="J8" s="8">
        <v>9</v>
      </c>
      <c r="K8" s="8"/>
      <c r="L8" s="8" t="s">
        <v>106</v>
      </c>
      <c r="M8" s="16">
        <f t="shared" si="0"/>
        <v>32390</v>
      </c>
    </row>
    <row r="9" spans="1:13" x14ac:dyDescent="0.25">
      <c r="A9" s="8">
        <v>7</v>
      </c>
      <c r="B9" s="8" t="s">
        <v>89</v>
      </c>
      <c r="C9" s="8" t="s">
        <v>34</v>
      </c>
      <c r="D9" s="8">
        <v>34</v>
      </c>
      <c r="E9" s="8" t="s">
        <v>251</v>
      </c>
      <c r="F9" s="8" t="s">
        <v>262</v>
      </c>
      <c r="G9" s="8" t="s">
        <v>273</v>
      </c>
      <c r="H9" s="16">
        <v>33102</v>
      </c>
      <c r="I9" s="8">
        <v>17</v>
      </c>
      <c r="J9" s="8">
        <v>8</v>
      </c>
      <c r="K9" s="8"/>
      <c r="L9" s="8" t="s">
        <v>107</v>
      </c>
      <c r="M9" s="16">
        <f t="shared" si="0"/>
        <v>33102</v>
      </c>
    </row>
    <row r="10" spans="1:13" x14ac:dyDescent="0.25">
      <c r="A10" s="8">
        <v>8</v>
      </c>
      <c r="B10" s="8" t="s">
        <v>90</v>
      </c>
      <c r="C10" s="8" t="s">
        <v>39</v>
      </c>
      <c r="D10" s="8">
        <v>26</v>
      </c>
      <c r="E10" s="8" t="s">
        <v>252</v>
      </c>
      <c r="F10" s="8" t="s">
        <v>263</v>
      </c>
      <c r="G10" s="8" t="s">
        <v>274</v>
      </c>
      <c r="H10" s="16">
        <v>32755</v>
      </c>
      <c r="I10" s="8">
        <v>4</v>
      </c>
      <c r="J10" s="8">
        <v>9</v>
      </c>
      <c r="K10" s="8"/>
      <c r="L10" s="8" t="s">
        <v>69</v>
      </c>
      <c r="M10" s="16">
        <f t="shared" si="0"/>
        <v>32755</v>
      </c>
    </row>
    <row r="11" spans="1:13" x14ac:dyDescent="0.25">
      <c r="A11" s="8">
        <v>9</v>
      </c>
      <c r="B11" s="8" t="s">
        <v>91</v>
      </c>
      <c r="C11" s="8" t="s">
        <v>42</v>
      </c>
      <c r="D11" s="8">
        <v>32</v>
      </c>
      <c r="E11" s="8" t="s">
        <v>253</v>
      </c>
      <c r="F11" s="8" t="s">
        <v>264</v>
      </c>
      <c r="G11" s="8" t="s">
        <v>275</v>
      </c>
      <c r="H11" s="16">
        <v>36506</v>
      </c>
      <c r="I11" s="8">
        <v>12</v>
      </c>
      <c r="J11" s="8">
        <v>12</v>
      </c>
      <c r="K11" s="8"/>
      <c r="L11" s="8" t="s">
        <v>102</v>
      </c>
      <c r="M11" s="16">
        <f t="shared" si="0"/>
        <v>36506</v>
      </c>
    </row>
    <row r="12" spans="1:13" x14ac:dyDescent="0.25">
      <c r="A12" s="8">
        <v>10</v>
      </c>
      <c r="B12" s="8" t="s">
        <v>92</v>
      </c>
      <c r="C12" s="8" t="s">
        <v>45</v>
      </c>
      <c r="D12" s="8">
        <v>28</v>
      </c>
      <c r="E12" s="8" t="s">
        <v>254</v>
      </c>
      <c r="F12" s="8" t="s">
        <v>265</v>
      </c>
      <c r="G12" s="8" t="s">
        <v>276</v>
      </c>
      <c r="H12" s="16">
        <v>28326</v>
      </c>
      <c r="I12" s="8">
        <v>20</v>
      </c>
      <c r="J12" s="8">
        <v>7</v>
      </c>
      <c r="K12" s="8"/>
      <c r="L12" s="8" t="s">
        <v>103</v>
      </c>
      <c r="M12" s="16">
        <f t="shared" si="0"/>
        <v>28326</v>
      </c>
    </row>
    <row r="13" spans="1:13" x14ac:dyDescent="0.25">
      <c r="A13" s="8">
        <v>11</v>
      </c>
      <c r="B13" s="8" t="s">
        <v>93</v>
      </c>
      <c r="C13" s="8" t="s">
        <v>81</v>
      </c>
      <c r="D13" s="8">
        <v>48</v>
      </c>
      <c r="E13" s="8" t="s">
        <v>255</v>
      </c>
      <c r="F13" s="8" t="s">
        <v>266</v>
      </c>
      <c r="G13" s="8" t="s">
        <v>277</v>
      </c>
      <c r="H13" s="16">
        <v>31402</v>
      </c>
      <c r="I13" s="8">
        <v>21</v>
      </c>
      <c r="J13" s="8">
        <v>12</v>
      </c>
      <c r="K13" s="8"/>
      <c r="L13" s="8" t="s">
        <v>104</v>
      </c>
      <c r="M13" s="16">
        <f t="shared" si="0"/>
        <v>31402</v>
      </c>
    </row>
    <row r="16" spans="1:13" x14ac:dyDescent="0.25">
      <c r="E16" t="s">
        <v>278</v>
      </c>
      <c r="F16" s="15" t="s">
        <v>64</v>
      </c>
    </row>
    <row r="17" spans="5:7" x14ac:dyDescent="0.25">
      <c r="E17" s="38">
        <v>45630</v>
      </c>
      <c r="F17" s="39">
        <v>45630</v>
      </c>
    </row>
    <row r="18" spans="5:7" x14ac:dyDescent="0.25">
      <c r="E18" s="38">
        <v>45631</v>
      </c>
      <c r="F18" s="39">
        <v>45631</v>
      </c>
      <c r="G18" s="38"/>
    </row>
    <row r="19" spans="5:7" x14ac:dyDescent="0.25">
      <c r="E19" s="38">
        <v>45632</v>
      </c>
      <c r="F19" s="39">
        <v>45632</v>
      </c>
    </row>
    <row r="20" spans="5:7" x14ac:dyDescent="0.25">
      <c r="E20" s="38">
        <v>45633</v>
      </c>
      <c r="F20" s="39">
        <v>45633</v>
      </c>
    </row>
    <row r="21" spans="5:7" x14ac:dyDescent="0.25">
      <c r="E21" s="38">
        <v>45634</v>
      </c>
      <c r="F21" s="39">
        <v>45634</v>
      </c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6B19-1B79-4A95-BCFE-6563807E1DF1}">
  <dimension ref="A1:S17"/>
  <sheetViews>
    <sheetView zoomScale="115" zoomScaleNormal="115" workbookViewId="0">
      <selection activeCell="G2" sqref="G2"/>
    </sheetView>
  </sheetViews>
  <sheetFormatPr defaultRowHeight="15" x14ac:dyDescent="0.25"/>
  <cols>
    <col min="1" max="1" width="4.5703125" bestFit="1" customWidth="1"/>
    <col min="2" max="2" width="13.28515625" bestFit="1" customWidth="1"/>
    <col min="3" max="3" width="12.28515625" bestFit="1" customWidth="1"/>
    <col min="4" max="4" width="10.85546875" bestFit="1" customWidth="1"/>
    <col min="5" max="5" width="6.5703125" bestFit="1" customWidth="1"/>
    <col min="6" max="6" width="9.28515625" bestFit="1" customWidth="1"/>
    <col min="7" max="7" width="10.5703125" bestFit="1" customWidth="1"/>
    <col min="8" max="8" width="10.85546875" bestFit="1" customWidth="1"/>
    <col min="9" max="9" width="7.28515625" bestFit="1" customWidth="1"/>
    <col min="10" max="10" width="10.28515625" bestFit="1" customWidth="1"/>
    <col min="11" max="11" width="16.28515625" bestFit="1" customWidth="1"/>
    <col min="12" max="12" width="12.7109375" bestFit="1" customWidth="1"/>
    <col min="13" max="13" width="15.5703125" bestFit="1" customWidth="1"/>
    <col min="14" max="14" width="11.7109375" bestFit="1" customWidth="1"/>
    <col min="15" max="15" width="10.28515625" bestFit="1" customWidth="1"/>
    <col min="16" max="16" width="10.140625" bestFit="1" customWidth="1"/>
    <col min="17" max="17" width="10.28515625" bestFit="1" customWidth="1"/>
    <col min="18" max="18" width="11.140625" bestFit="1" customWidth="1"/>
    <col min="19" max="23" width="10.28515625" bestFit="1" customWidth="1"/>
    <col min="24" max="24" width="17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72</v>
      </c>
      <c r="J1" s="2" t="s">
        <v>112</v>
      </c>
      <c r="K1" s="2" t="s">
        <v>113</v>
      </c>
      <c r="M1" s="24" t="s">
        <v>116</v>
      </c>
      <c r="N1" s="24" t="s">
        <v>117</v>
      </c>
    </row>
    <row r="2" spans="1:19" x14ac:dyDescent="0.25">
      <c r="A2" s="3">
        <v>1</v>
      </c>
      <c r="B2" s="3" t="s">
        <v>85</v>
      </c>
      <c r="C2" s="3" t="s">
        <v>9</v>
      </c>
      <c r="D2" s="3" t="s">
        <v>10</v>
      </c>
      <c r="E2" s="3" t="s">
        <v>11</v>
      </c>
      <c r="F2" s="3" t="s">
        <v>12</v>
      </c>
      <c r="G2" s="10">
        <v>28126</v>
      </c>
      <c r="H2" s="11">
        <v>21875</v>
      </c>
      <c r="I2" s="8">
        <f>IF(H2&gt;10000,H2*10%,H2*5%)</f>
        <v>2187.5</v>
      </c>
      <c r="J2" s="11">
        <v>22875</v>
      </c>
      <c r="K2" s="8"/>
      <c r="M2" s="24" t="s">
        <v>118</v>
      </c>
      <c r="N2" s="24" t="s">
        <v>138</v>
      </c>
    </row>
    <row r="3" spans="1:19" x14ac:dyDescent="0.25">
      <c r="A3" s="3">
        <v>2</v>
      </c>
      <c r="B3" s="3" t="s">
        <v>26</v>
      </c>
      <c r="C3" s="3" t="s">
        <v>14</v>
      </c>
      <c r="D3" s="3" t="s">
        <v>10</v>
      </c>
      <c r="E3" s="3" t="s">
        <v>15</v>
      </c>
      <c r="F3" s="3" t="s">
        <v>16</v>
      </c>
      <c r="G3" s="10">
        <v>28126</v>
      </c>
      <c r="H3" s="11">
        <v>17500</v>
      </c>
      <c r="I3" s="8">
        <f t="shared" ref="I3:I11" si="0">IF(H3&gt;10000,H3*10%,H3*5%)</f>
        <v>1750</v>
      </c>
      <c r="J3" s="11">
        <v>18500</v>
      </c>
      <c r="K3" s="8"/>
      <c r="M3" s="24" t="s">
        <v>119</v>
      </c>
      <c r="N3" s="24" t="s">
        <v>120</v>
      </c>
    </row>
    <row r="4" spans="1:19" x14ac:dyDescent="0.25">
      <c r="A4" s="3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10">
        <v>36220</v>
      </c>
      <c r="H4" s="11">
        <v>7000</v>
      </c>
      <c r="I4" s="8">
        <f t="shared" si="0"/>
        <v>350</v>
      </c>
      <c r="J4" s="11">
        <v>8000</v>
      </c>
      <c r="K4" s="8"/>
      <c r="M4" s="24" t="s">
        <v>136</v>
      </c>
      <c r="N4" s="24" t="s">
        <v>134</v>
      </c>
    </row>
    <row r="5" spans="1:19" x14ac:dyDescent="0.25">
      <c r="A5" s="3">
        <v>4</v>
      </c>
      <c r="B5" s="22" t="s">
        <v>121</v>
      </c>
      <c r="C5" s="8" t="s">
        <v>114</v>
      </c>
      <c r="D5" s="3" t="s">
        <v>24</v>
      </c>
      <c r="E5" s="19" t="s">
        <v>11</v>
      </c>
      <c r="F5" s="3" t="s">
        <v>25</v>
      </c>
      <c r="G5" s="10">
        <v>29183</v>
      </c>
      <c r="H5" s="11">
        <v>12250</v>
      </c>
      <c r="I5" s="8">
        <f t="shared" si="0"/>
        <v>1225</v>
      </c>
      <c r="J5" s="11">
        <v>13250</v>
      </c>
      <c r="K5" s="8" t="s">
        <v>154</v>
      </c>
      <c r="M5" s="24" t="s">
        <v>137</v>
      </c>
      <c r="N5" s="24" t="s">
        <v>135</v>
      </c>
    </row>
    <row r="6" spans="1:19" x14ac:dyDescent="0.25">
      <c r="A6" s="3">
        <v>5</v>
      </c>
      <c r="B6" s="3" t="s">
        <v>26</v>
      </c>
      <c r="C6" s="3" t="s">
        <v>27</v>
      </c>
      <c r="D6" s="3" t="s">
        <v>28</v>
      </c>
      <c r="E6" s="20" t="s">
        <v>15</v>
      </c>
      <c r="F6" s="3" t="s">
        <v>29</v>
      </c>
      <c r="G6" s="10">
        <v>32755</v>
      </c>
      <c r="H6" s="11">
        <v>21000</v>
      </c>
      <c r="I6" s="8">
        <f t="shared" si="0"/>
        <v>2100</v>
      </c>
      <c r="J6" s="11">
        <v>22000</v>
      </c>
      <c r="K6" s="8"/>
    </row>
    <row r="7" spans="1:19" x14ac:dyDescent="0.25">
      <c r="A7" s="3">
        <v>6</v>
      </c>
      <c r="B7" s="3" t="s">
        <v>30</v>
      </c>
      <c r="C7" s="3" t="s">
        <v>31</v>
      </c>
      <c r="D7" s="3" t="s">
        <v>28</v>
      </c>
      <c r="E7" s="21" t="s">
        <v>20</v>
      </c>
      <c r="F7" s="3" t="s">
        <v>32</v>
      </c>
      <c r="G7" s="10">
        <v>32390</v>
      </c>
      <c r="H7" s="11">
        <v>12425</v>
      </c>
      <c r="I7" s="8">
        <f t="shared" si="0"/>
        <v>1242.5</v>
      </c>
      <c r="J7" s="11">
        <v>13425</v>
      </c>
      <c r="K7" s="8"/>
    </row>
    <row r="8" spans="1:19" x14ac:dyDescent="0.25">
      <c r="A8" s="3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10">
        <v>33102</v>
      </c>
      <c r="H8" s="11">
        <v>13825</v>
      </c>
      <c r="I8" s="8">
        <f t="shared" si="0"/>
        <v>1382.5</v>
      </c>
      <c r="J8" s="11">
        <v>14825</v>
      </c>
      <c r="K8" s="8"/>
    </row>
    <row r="9" spans="1:19" x14ac:dyDescent="0.25">
      <c r="A9" s="3">
        <v>8</v>
      </c>
      <c r="B9" s="22" t="s">
        <v>38</v>
      </c>
      <c r="C9" s="8" t="s">
        <v>115</v>
      </c>
      <c r="D9" s="3" t="s">
        <v>28</v>
      </c>
      <c r="E9" s="3" t="s">
        <v>11</v>
      </c>
      <c r="F9" s="3" t="s">
        <v>40</v>
      </c>
      <c r="G9" s="10">
        <v>32755</v>
      </c>
      <c r="H9" s="11">
        <v>12425</v>
      </c>
      <c r="I9" s="8">
        <f t="shared" si="0"/>
        <v>1242.5</v>
      </c>
      <c r="J9" s="11">
        <v>13425</v>
      </c>
      <c r="K9" s="8" t="s">
        <v>115</v>
      </c>
    </row>
    <row r="10" spans="1:19" x14ac:dyDescent="0.25">
      <c r="A10" s="3">
        <v>9</v>
      </c>
      <c r="B10" s="3" t="s">
        <v>41</v>
      </c>
      <c r="C10" s="3" t="s">
        <v>42</v>
      </c>
      <c r="D10" s="3" t="s">
        <v>10</v>
      </c>
      <c r="E10" s="3" t="s">
        <v>11</v>
      </c>
      <c r="F10" s="3" t="s">
        <v>43</v>
      </c>
      <c r="G10" s="10">
        <v>36506</v>
      </c>
      <c r="H10" s="11">
        <v>14875</v>
      </c>
      <c r="I10" s="8">
        <f t="shared" si="0"/>
        <v>1487.5</v>
      </c>
      <c r="J10" s="11">
        <v>15875</v>
      </c>
      <c r="K10" s="8"/>
    </row>
    <row r="11" spans="1:19" x14ac:dyDescent="0.25">
      <c r="A11" s="3">
        <v>10</v>
      </c>
      <c r="B11" s="3" t="s">
        <v>44</v>
      </c>
      <c r="C11" s="3" t="s">
        <v>45</v>
      </c>
      <c r="D11" s="3" t="s">
        <v>24</v>
      </c>
      <c r="E11" s="3" t="s">
        <v>15</v>
      </c>
      <c r="F11" s="3" t="s">
        <v>46</v>
      </c>
      <c r="G11" s="10">
        <v>28326</v>
      </c>
      <c r="H11" s="11">
        <v>15750</v>
      </c>
      <c r="I11" s="8">
        <f t="shared" si="0"/>
        <v>1575</v>
      </c>
      <c r="J11" s="11">
        <v>16750</v>
      </c>
      <c r="K11" s="8"/>
      <c r="S11" t="s">
        <v>173</v>
      </c>
    </row>
    <row r="14" spans="1:19" x14ac:dyDescent="0.25">
      <c r="B14" s="23" t="s">
        <v>122</v>
      </c>
    </row>
    <row r="15" spans="1:19" x14ac:dyDescent="0.25">
      <c r="B15" s="23" t="s">
        <v>123</v>
      </c>
      <c r="D15" t="s">
        <v>193</v>
      </c>
    </row>
    <row r="16" spans="1:19" x14ac:dyDescent="0.25">
      <c r="B16" s="23" t="s">
        <v>124</v>
      </c>
    </row>
    <row r="17" spans="2:2" x14ac:dyDescent="0.25">
      <c r="B17" s="23" t="s">
        <v>125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2B3C-DFEA-4598-8BEC-14C101D918AF}">
  <dimension ref="A1:J11"/>
  <sheetViews>
    <sheetView tabSelected="1" workbookViewId="0">
      <selection activeCell="L15" sqref="L15"/>
    </sheetView>
  </sheetViews>
  <sheetFormatPr defaultRowHeight="15" x14ac:dyDescent="0.25"/>
  <cols>
    <col min="1" max="1" width="4.85546875" bestFit="1" customWidth="1"/>
    <col min="2" max="2" width="10.28515625" bestFit="1" customWidth="1"/>
    <col min="3" max="3" width="13.28515625" bestFit="1" customWidth="1"/>
    <col min="4" max="4" width="11.7109375" bestFit="1" customWidth="1"/>
    <col min="5" max="5" width="7.140625" bestFit="1" customWidth="1"/>
    <col min="6" max="6" width="10.140625" bestFit="1" customWidth="1"/>
    <col min="7" max="7" width="10.7109375" bestFit="1" customWidth="1"/>
    <col min="8" max="8" width="14.140625" customWidth="1"/>
    <col min="9" max="9" width="7" bestFit="1" customWidth="1"/>
    <col min="10" max="10" width="1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72</v>
      </c>
      <c r="J1" t="s">
        <v>112</v>
      </c>
    </row>
    <row r="2" spans="1:10" x14ac:dyDescent="0.25">
      <c r="A2">
        <v>1</v>
      </c>
      <c r="B2" t="s">
        <v>85</v>
      </c>
      <c r="C2" t="s">
        <v>9</v>
      </c>
      <c r="D2" t="s">
        <v>10</v>
      </c>
      <c r="E2" t="s">
        <v>11</v>
      </c>
      <c r="F2" t="s">
        <v>12</v>
      </c>
      <c r="G2" s="15">
        <v>28126</v>
      </c>
      <c r="H2" s="33">
        <v>21875</v>
      </c>
      <c r="I2">
        <v>2187.5</v>
      </c>
      <c r="J2" s="32">
        <v>0.1</v>
      </c>
    </row>
    <row r="3" spans="1:10" x14ac:dyDescent="0.25">
      <c r="A3">
        <v>2</v>
      </c>
      <c r="B3" t="s">
        <v>26</v>
      </c>
      <c r="C3" t="s">
        <v>14</v>
      </c>
      <c r="D3" t="s">
        <v>10</v>
      </c>
      <c r="E3" t="s">
        <v>15</v>
      </c>
      <c r="F3" t="s">
        <v>16</v>
      </c>
      <c r="G3" s="15">
        <v>28126</v>
      </c>
      <c r="H3" s="33">
        <v>17500</v>
      </c>
      <c r="I3">
        <v>1750</v>
      </c>
      <c r="J3" s="32">
        <v>0.12</v>
      </c>
    </row>
    <row r="4" spans="1:10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15">
        <v>36220</v>
      </c>
      <c r="H4" s="33">
        <v>7000</v>
      </c>
      <c r="I4">
        <v>350</v>
      </c>
      <c r="J4" s="32">
        <v>0.14000000000000001</v>
      </c>
    </row>
    <row r="5" spans="1:10" x14ac:dyDescent="0.25">
      <c r="A5">
        <v>4</v>
      </c>
      <c r="B5" t="s">
        <v>121</v>
      </c>
      <c r="C5" t="s">
        <v>114</v>
      </c>
      <c r="D5" t="s">
        <v>24</v>
      </c>
      <c r="E5" t="s">
        <v>11</v>
      </c>
      <c r="F5" t="s">
        <v>25</v>
      </c>
      <c r="G5" s="15">
        <v>29183</v>
      </c>
      <c r="H5" s="33">
        <v>12250</v>
      </c>
      <c r="I5">
        <v>1225</v>
      </c>
      <c r="J5" s="32">
        <v>0.16</v>
      </c>
    </row>
    <row r="6" spans="1:10" x14ac:dyDescent="0.25">
      <c r="A6">
        <v>5</v>
      </c>
      <c r="B6" t="s">
        <v>26</v>
      </c>
      <c r="C6" t="s">
        <v>27</v>
      </c>
      <c r="D6" t="s">
        <v>28</v>
      </c>
      <c r="E6" t="s">
        <v>15</v>
      </c>
      <c r="F6" t="s">
        <v>29</v>
      </c>
      <c r="G6" s="15">
        <v>32755</v>
      </c>
      <c r="H6" s="33">
        <v>21000</v>
      </c>
      <c r="I6">
        <v>2100</v>
      </c>
      <c r="J6" s="32">
        <v>0.18</v>
      </c>
    </row>
    <row r="7" spans="1:10" x14ac:dyDescent="0.25">
      <c r="A7">
        <v>6</v>
      </c>
      <c r="B7" t="s">
        <v>30</v>
      </c>
      <c r="C7" t="s">
        <v>31</v>
      </c>
      <c r="D7" t="s">
        <v>28</v>
      </c>
      <c r="E7" t="s">
        <v>20</v>
      </c>
      <c r="F7" t="s">
        <v>32</v>
      </c>
      <c r="G7" s="15">
        <v>32390</v>
      </c>
      <c r="H7" s="33">
        <v>12425</v>
      </c>
      <c r="I7">
        <v>1242.5</v>
      </c>
      <c r="J7" s="32">
        <v>0.2</v>
      </c>
    </row>
    <row r="8" spans="1:10" x14ac:dyDescent="0.25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s="15">
        <v>33102</v>
      </c>
      <c r="H8" s="33">
        <v>13825</v>
      </c>
      <c r="I8">
        <v>1382.5</v>
      </c>
      <c r="J8" s="32">
        <v>0.22</v>
      </c>
    </row>
    <row r="9" spans="1:10" x14ac:dyDescent="0.25">
      <c r="A9">
        <v>8</v>
      </c>
      <c r="B9" t="s">
        <v>38</v>
      </c>
      <c r="C9" t="s">
        <v>115</v>
      </c>
      <c r="D9" t="s">
        <v>28</v>
      </c>
      <c r="E9" t="s">
        <v>11</v>
      </c>
      <c r="F9" t="s">
        <v>40</v>
      </c>
      <c r="G9" s="15">
        <v>32755</v>
      </c>
      <c r="H9" s="33">
        <v>12425</v>
      </c>
      <c r="I9">
        <v>1242.5</v>
      </c>
      <c r="J9" s="32">
        <v>0.24</v>
      </c>
    </row>
    <row r="10" spans="1:10" x14ac:dyDescent="0.25">
      <c r="A10">
        <v>9</v>
      </c>
      <c r="B10" t="s">
        <v>41</v>
      </c>
      <c r="C10" t="s">
        <v>42</v>
      </c>
      <c r="D10" t="s">
        <v>10</v>
      </c>
      <c r="E10" t="s">
        <v>11</v>
      </c>
      <c r="F10" t="s">
        <v>43</v>
      </c>
      <c r="G10" s="15">
        <v>36506</v>
      </c>
      <c r="H10" s="33">
        <v>14875</v>
      </c>
      <c r="I10">
        <v>1487.5</v>
      </c>
      <c r="J10" s="32">
        <v>0.26</v>
      </c>
    </row>
    <row r="11" spans="1:10" x14ac:dyDescent="0.25">
      <c r="A11">
        <v>10</v>
      </c>
      <c r="B11" t="s">
        <v>44</v>
      </c>
      <c r="C11" t="s">
        <v>45</v>
      </c>
      <c r="D11" t="s">
        <v>24</v>
      </c>
      <c r="E11" t="s">
        <v>15</v>
      </c>
      <c r="F11" t="s">
        <v>46</v>
      </c>
      <c r="G11" s="15">
        <v>28326</v>
      </c>
      <c r="H11" s="33">
        <v>15750</v>
      </c>
      <c r="I11">
        <v>1575</v>
      </c>
      <c r="J11" s="32">
        <v>0.28000000000000003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FECB-F614-4F36-B98F-D4724BF6C1C2}">
  <dimension ref="A1:I12"/>
  <sheetViews>
    <sheetView workbookViewId="0">
      <selection activeCell="B2" sqref="B2"/>
    </sheetView>
  </sheetViews>
  <sheetFormatPr defaultRowHeight="15" x14ac:dyDescent="0.25"/>
  <cols>
    <col min="7" max="7" width="10.140625" bestFit="1" customWidth="1"/>
    <col min="8" max="8" width="10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72</v>
      </c>
    </row>
    <row r="2" spans="1:9" x14ac:dyDescent="0.25">
      <c r="A2" s="3">
        <v>1</v>
      </c>
      <c r="B2" s="12" t="s">
        <v>162</v>
      </c>
      <c r="C2" s="3" t="s">
        <v>9</v>
      </c>
      <c r="D2" s="3" t="s">
        <v>10</v>
      </c>
      <c r="E2" s="3" t="s">
        <v>11</v>
      </c>
      <c r="F2" s="3" t="s">
        <v>12</v>
      </c>
      <c r="G2" s="10">
        <v>28126</v>
      </c>
      <c r="H2" s="11">
        <v>21875</v>
      </c>
      <c r="I2" s="8">
        <f>IF(H2&gt;10000,H2*10%,H2*5%)</f>
        <v>2187.5</v>
      </c>
    </row>
    <row r="3" spans="1:9" x14ac:dyDescent="0.25">
      <c r="A3" s="3">
        <v>2</v>
      </c>
      <c r="B3" s="12" t="s">
        <v>13</v>
      </c>
      <c r="C3" s="3" t="s">
        <v>14</v>
      </c>
      <c r="D3" s="3" t="s">
        <v>10</v>
      </c>
      <c r="E3" s="3" t="s">
        <v>15</v>
      </c>
      <c r="F3" s="3" t="s">
        <v>16</v>
      </c>
      <c r="G3" s="10">
        <v>28126</v>
      </c>
      <c r="H3" s="11">
        <v>17500</v>
      </c>
      <c r="I3" s="8">
        <f t="shared" ref="I3:I11" si="0">IF(H3&gt;10000,H3*10%,H3*5%)</f>
        <v>1750</v>
      </c>
    </row>
    <row r="4" spans="1:9" x14ac:dyDescent="0.25">
      <c r="A4" s="3">
        <v>3</v>
      </c>
      <c r="B4" s="12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10">
        <v>36220</v>
      </c>
      <c r="H4" s="11">
        <v>7000</v>
      </c>
      <c r="I4" s="8">
        <f t="shared" si="0"/>
        <v>350</v>
      </c>
    </row>
    <row r="5" spans="1:9" x14ac:dyDescent="0.25">
      <c r="A5" s="3">
        <v>4</v>
      </c>
      <c r="B5" s="12" t="s">
        <v>22</v>
      </c>
      <c r="C5" s="3" t="s">
        <v>23</v>
      </c>
      <c r="D5" s="3" t="s">
        <v>24</v>
      </c>
      <c r="E5" s="45" t="s">
        <v>11</v>
      </c>
      <c r="F5" s="3" t="s">
        <v>25</v>
      </c>
      <c r="G5" s="10">
        <v>29183</v>
      </c>
      <c r="H5" s="11">
        <v>12250</v>
      </c>
      <c r="I5" s="8">
        <f t="shared" si="0"/>
        <v>1225</v>
      </c>
    </row>
    <row r="6" spans="1:9" x14ac:dyDescent="0.25">
      <c r="A6" s="3">
        <v>5</v>
      </c>
      <c r="B6" s="12" t="s">
        <v>26</v>
      </c>
      <c r="C6" s="3" t="s">
        <v>27</v>
      </c>
      <c r="D6" s="3" t="s">
        <v>28</v>
      </c>
      <c r="E6" s="46"/>
      <c r="F6" s="3" t="s">
        <v>29</v>
      </c>
      <c r="G6" s="10">
        <v>32755</v>
      </c>
      <c r="H6" s="11">
        <v>21000</v>
      </c>
      <c r="I6" s="8">
        <f t="shared" si="0"/>
        <v>2100</v>
      </c>
    </row>
    <row r="7" spans="1:9" x14ac:dyDescent="0.25">
      <c r="A7" s="3">
        <v>6</v>
      </c>
      <c r="B7" s="12" t="s">
        <v>30</v>
      </c>
      <c r="C7" s="3" t="s">
        <v>31</v>
      </c>
      <c r="D7" s="3" t="s">
        <v>28</v>
      </c>
      <c r="E7" s="47"/>
      <c r="F7" s="3" t="s">
        <v>32</v>
      </c>
      <c r="G7" s="10">
        <v>32390</v>
      </c>
      <c r="H7" s="11">
        <v>12425</v>
      </c>
      <c r="I7" s="8">
        <f t="shared" si="0"/>
        <v>1242.5</v>
      </c>
    </row>
    <row r="8" spans="1:9" x14ac:dyDescent="0.25">
      <c r="A8" s="3">
        <v>7</v>
      </c>
      <c r="B8" s="12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10">
        <v>33102</v>
      </c>
      <c r="H8" s="11">
        <v>13825</v>
      </c>
      <c r="I8" s="8">
        <f t="shared" si="0"/>
        <v>1382.5</v>
      </c>
    </row>
    <row r="9" spans="1:9" x14ac:dyDescent="0.25">
      <c r="A9" s="3">
        <v>8</v>
      </c>
      <c r="B9" s="12" t="s">
        <v>38</v>
      </c>
      <c r="C9" s="3" t="s">
        <v>39</v>
      </c>
      <c r="D9" s="3" t="s">
        <v>28</v>
      </c>
      <c r="E9" s="3" t="s">
        <v>11</v>
      </c>
      <c r="F9" s="3" t="s">
        <v>40</v>
      </c>
      <c r="G9" s="10">
        <v>32755</v>
      </c>
      <c r="H9" s="11">
        <v>12425</v>
      </c>
      <c r="I9" s="8">
        <f t="shared" si="0"/>
        <v>1242.5</v>
      </c>
    </row>
    <row r="10" spans="1:9" x14ac:dyDescent="0.25">
      <c r="A10" s="3">
        <v>9</v>
      </c>
      <c r="B10" s="12" t="s">
        <v>41</v>
      </c>
      <c r="C10" s="3" t="s">
        <v>42</v>
      </c>
      <c r="D10" s="3" t="s">
        <v>10</v>
      </c>
      <c r="E10" s="3" t="s">
        <v>11</v>
      </c>
      <c r="F10" s="3" t="s">
        <v>43</v>
      </c>
      <c r="G10" s="10">
        <v>36506</v>
      </c>
      <c r="H10" s="11">
        <v>14875</v>
      </c>
      <c r="I10" s="8">
        <f t="shared" si="0"/>
        <v>1487.5</v>
      </c>
    </row>
    <row r="11" spans="1:9" x14ac:dyDescent="0.25">
      <c r="A11" s="3">
        <v>10</v>
      </c>
      <c r="B11" s="12" t="s">
        <v>44</v>
      </c>
      <c r="C11" s="3" t="s">
        <v>45</v>
      </c>
      <c r="D11" s="3" t="s">
        <v>24</v>
      </c>
      <c r="E11" s="3" t="s">
        <v>15</v>
      </c>
      <c r="F11" s="3" t="s">
        <v>46</v>
      </c>
      <c r="G11" s="10">
        <v>28326</v>
      </c>
      <c r="H11" s="11">
        <v>15750</v>
      </c>
      <c r="I11" s="8">
        <f t="shared" si="0"/>
        <v>1575</v>
      </c>
    </row>
    <row r="12" spans="1:9" x14ac:dyDescent="0.25">
      <c r="A12" s="48" t="s">
        <v>73</v>
      </c>
      <c r="B12" s="49"/>
      <c r="C12" s="49"/>
      <c r="D12" s="49"/>
    </row>
  </sheetData>
  <mergeCells count="2">
    <mergeCell ref="E5:E7"/>
    <mergeCell ref="A12:D12"/>
  </mergeCells>
  <hyperlinks>
    <hyperlink ref="A12" r:id="rId1" xr:uid="{1DFF52C0-DCCA-4F65-A0C6-375A4FC3AA5C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1.Basic</vt:lpstr>
      <vt:lpstr>2.Formatting</vt:lpstr>
      <vt:lpstr>DEMO</vt:lpstr>
      <vt:lpstr>3.Fill Series</vt:lpstr>
      <vt:lpstr>4.Flash Fill</vt:lpstr>
      <vt:lpstr>Copy Paste</vt:lpstr>
      <vt:lpstr>Sheet3</vt:lpstr>
      <vt:lpstr>Find and Select Clear</vt:lpstr>
      <vt:lpstr>abc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Satej Bhogate</cp:lastModifiedBy>
  <dcterms:created xsi:type="dcterms:W3CDTF">2023-08-09T09:33:51Z</dcterms:created>
  <dcterms:modified xsi:type="dcterms:W3CDTF">2025-08-05T02:01:33Z</dcterms:modified>
</cp:coreProperties>
</file>