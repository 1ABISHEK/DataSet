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satej.bhogate\OneDrive - Mphasis\Desktop\ExcelR\Excel\"/>
    </mc:Choice>
  </mc:AlternateContent>
  <xr:revisionPtr revIDLastSave="0" documentId="13_ncr:1_{B5AE49F9-A59D-4BB5-A9CB-BC80FBF631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sk" sheetId="1" r:id="rId1"/>
    <sheet name="cell reference" sheetId="2" r:id="rId2"/>
    <sheet name="Sheet1" sheetId="6" r:id="rId3"/>
    <sheet name="Named range" sheetId="3" r:id="rId4"/>
    <sheet name="Arithmetic Functions" sheetId="4" r:id="rId5"/>
    <sheet name="Operator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2" i="1" l="1"/>
  <c r="L32" i="1"/>
  <c r="M32" i="1"/>
  <c r="N32" i="1"/>
  <c r="K33" i="1"/>
  <c r="L33" i="1"/>
  <c r="M33" i="1"/>
  <c r="N33" i="1"/>
  <c r="K34" i="1"/>
  <c r="L34" i="1"/>
  <c r="M34" i="1"/>
  <c r="N34" i="1"/>
  <c r="K35" i="1"/>
  <c r="L35" i="1"/>
  <c r="M35" i="1"/>
  <c r="N35" i="1"/>
  <c r="K36" i="1"/>
  <c r="L36" i="1"/>
  <c r="M36" i="1"/>
  <c r="N36" i="1"/>
  <c r="K37" i="1"/>
  <c r="L37" i="1"/>
  <c r="M37" i="1"/>
  <c r="N37" i="1"/>
  <c r="K38" i="1"/>
  <c r="L38" i="1"/>
  <c r="M38" i="1"/>
  <c r="N38" i="1"/>
  <c r="L31" i="1"/>
  <c r="M31" i="1"/>
  <c r="N31" i="1"/>
  <c r="K31" i="1"/>
  <c r="J31" i="1" a="1"/>
  <c r="J31" i="1" s="1"/>
  <c r="M12" i="1"/>
  <c r="M13" i="1"/>
  <c r="M14" i="1"/>
  <c r="M11" i="1"/>
  <c r="L12" i="1"/>
  <c r="L13" i="1"/>
  <c r="L14" i="1"/>
  <c r="L11" i="1"/>
  <c r="K12" i="1"/>
  <c r="K13" i="1"/>
  <c r="K14" i="1"/>
  <c r="K11" i="1"/>
  <c r="K7" i="1"/>
  <c r="K6" i="1"/>
  <c r="K5" i="1"/>
  <c r="K4" i="1"/>
  <c r="K3" i="1"/>
  <c r="L24" i="4"/>
  <c r="O21" i="4"/>
  <c r="O18" i="4"/>
  <c r="O14" i="4"/>
  <c r="Q10" i="4"/>
  <c r="P7" i="4"/>
  <c r="O4" i="4"/>
  <c r="K17" i="4"/>
  <c r="L20" i="4"/>
  <c r="J14" i="4"/>
  <c r="L10" i="4"/>
  <c r="K7" i="4"/>
  <c r="J4" i="4"/>
  <c r="J13" i="5"/>
  <c r="J3" i="5"/>
  <c r="J4" i="5"/>
  <c r="J5" i="5"/>
  <c r="J6" i="5"/>
  <c r="J7" i="5"/>
  <c r="J8" i="5"/>
  <c r="J9" i="5"/>
  <c r="J10" i="5"/>
  <c r="J11" i="5"/>
  <c r="J12" i="5"/>
  <c r="J2" i="5"/>
  <c r="I3" i="5"/>
  <c r="I4" i="5"/>
  <c r="I5" i="5"/>
  <c r="I6" i="5"/>
  <c r="I7" i="5"/>
  <c r="I8" i="5"/>
  <c r="I9" i="5"/>
  <c r="I10" i="5"/>
  <c r="I11" i="5"/>
  <c r="I12" i="5"/>
  <c r="I2" i="5"/>
  <c r="H3" i="5"/>
  <c r="H4" i="5"/>
  <c r="H5" i="5"/>
  <c r="H6" i="5"/>
  <c r="H7" i="5"/>
  <c r="H8" i="5"/>
  <c r="H9" i="5"/>
  <c r="H10" i="5"/>
  <c r="H11" i="5"/>
  <c r="H12" i="5"/>
  <c r="H2" i="5"/>
  <c r="B32" i="2"/>
  <c r="C32" i="2"/>
  <c r="D32" i="2"/>
  <c r="B33" i="2"/>
  <c r="C33" i="2"/>
  <c r="D33" i="2"/>
  <c r="C31" i="2"/>
  <c r="D31" i="2"/>
  <c r="B31" i="2"/>
  <c r="H19" i="2"/>
  <c r="H20" i="2"/>
  <c r="H21" i="2"/>
  <c r="H22" i="2"/>
  <c r="H23" i="2"/>
  <c r="H24" i="2"/>
  <c r="H25" i="2"/>
  <c r="H18" i="2"/>
  <c r="H26" i="2" s="1"/>
  <c r="H6" i="2"/>
  <c r="H7" i="2"/>
  <c r="H8" i="2"/>
  <c r="H9" i="2"/>
  <c r="H10" i="2"/>
  <c r="H11" i="2"/>
  <c r="H12" i="2"/>
  <c r="H5" i="2"/>
  <c r="C4" i="6"/>
  <c r="C5" i="6"/>
  <c r="C6" i="6"/>
  <c r="C7" i="6"/>
  <c r="C8" i="6"/>
  <c r="E4" i="6"/>
  <c r="G4" i="6" s="1"/>
  <c r="F4" i="6"/>
  <c r="D5" i="6"/>
  <c r="D6" i="6"/>
  <c r="D7" i="6"/>
  <c r="D8" i="6"/>
  <c r="D4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<sst xmlns="http://schemas.openxmlformats.org/spreadsheetml/2006/main" count="877" uniqueCount="326">
  <si>
    <t>Hydrabad</t>
  </si>
  <si>
    <t>south</t>
  </si>
  <si>
    <t>Finance</t>
  </si>
  <si>
    <t>Sawant</t>
  </si>
  <si>
    <t>Rupesh</t>
  </si>
  <si>
    <t>Mumbai</t>
  </si>
  <si>
    <t>west</t>
  </si>
  <si>
    <t>Shah</t>
  </si>
  <si>
    <t>Indu</t>
  </si>
  <si>
    <t>Delhi</t>
  </si>
  <si>
    <t>north</t>
  </si>
  <si>
    <t>CCD</t>
  </si>
  <si>
    <t>Dalvi</t>
  </si>
  <si>
    <t>Chetan</t>
  </si>
  <si>
    <t>Trivanadrum</t>
  </si>
  <si>
    <t>R&amp;D</t>
  </si>
  <si>
    <t>Raut</t>
  </si>
  <si>
    <t>Pushpa</t>
  </si>
  <si>
    <t>Nagpur</t>
  </si>
  <si>
    <t>Sharma</t>
  </si>
  <si>
    <t>Beena</t>
  </si>
  <si>
    <t>Banglore</t>
  </si>
  <si>
    <t>Mktg</t>
  </si>
  <si>
    <t>Vora</t>
  </si>
  <si>
    <t>Kabir</t>
  </si>
  <si>
    <t>Surat</t>
  </si>
  <si>
    <t>Kulkarni</t>
  </si>
  <si>
    <t>Radhika</t>
  </si>
  <si>
    <t>Sales</t>
  </si>
  <si>
    <t>Trivedi</t>
  </si>
  <si>
    <t>Harsha</t>
  </si>
  <si>
    <t>Gangtok</t>
  </si>
  <si>
    <t>east</t>
  </si>
  <si>
    <t>Singhani</t>
  </si>
  <si>
    <t>Payal</t>
  </si>
  <si>
    <t>Calcutta</t>
  </si>
  <si>
    <t>Digaria</t>
  </si>
  <si>
    <t>Niki</t>
  </si>
  <si>
    <t>Jaipur</t>
  </si>
  <si>
    <t>Mehta</t>
  </si>
  <si>
    <t>Priyanka</t>
  </si>
  <si>
    <t>Aligarh</t>
  </si>
  <si>
    <t>Patel</t>
  </si>
  <si>
    <t>Tejal</t>
  </si>
  <si>
    <t>Pune</t>
  </si>
  <si>
    <t>Shrivastava</t>
  </si>
  <si>
    <t>Vinit</t>
  </si>
  <si>
    <t>Tripathi</t>
  </si>
  <si>
    <t>Jignesh</t>
  </si>
  <si>
    <t>Jammu</t>
  </si>
  <si>
    <t>Sasan</t>
  </si>
  <si>
    <t>Sonia</t>
  </si>
  <si>
    <t>Agra</t>
  </si>
  <si>
    <t>Joseph</t>
  </si>
  <si>
    <t>Ruby</t>
  </si>
  <si>
    <t>Robert</t>
  </si>
  <si>
    <t>Pinky</t>
  </si>
  <si>
    <t>Kunal</t>
  </si>
  <si>
    <t>Cuttack</t>
  </si>
  <si>
    <t>Shirishkar</t>
  </si>
  <si>
    <t>Kalpana</t>
  </si>
  <si>
    <t>chennai</t>
  </si>
  <si>
    <t>Phule</t>
  </si>
  <si>
    <t>Tara</t>
  </si>
  <si>
    <t>Ferozepur</t>
  </si>
  <si>
    <t>Gandhi</t>
  </si>
  <si>
    <t>Dayanand</t>
  </si>
  <si>
    <t>Bidkar</t>
  </si>
  <si>
    <t>Sagar</t>
  </si>
  <si>
    <t>Chhaya</t>
  </si>
  <si>
    <t>Deep</t>
  </si>
  <si>
    <t>Drishti</t>
  </si>
  <si>
    <t>Panji</t>
  </si>
  <si>
    <t>Khan</t>
  </si>
  <si>
    <t>Nayeem</t>
  </si>
  <si>
    <t>Admin</t>
  </si>
  <si>
    <t>Saksena</t>
  </si>
  <si>
    <t>Suraj</t>
  </si>
  <si>
    <t>Darjeeling</t>
  </si>
  <si>
    <t>Pandhya</t>
  </si>
  <si>
    <t>Nita</t>
  </si>
  <si>
    <t>Shenoy</t>
  </si>
  <si>
    <t>Laveena</t>
  </si>
  <si>
    <t>Mysore</t>
  </si>
  <si>
    <t>Gupta</t>
  </si>
  <si>
    <t>Yamini</t>
  </si>
  <si>
    <t>Godse</t>
  </si>
  <si>
    <t>Surendra</t>
  </si>
  <si>
    <t>Naik</t>
  </si>
  <si>
    <t>Reeta</t>
  </si>
  <si>
    <t>delhi</t>
  </si>
  <si>
    <t>Personnel</t>
  </si>
  <si>
    <t>Joshi</t>
  </si>
  <si>
    <t>Pravin</t>
  </si>
  <si>
    <t>Desai</t>
  </si>
  <si>
    <t>Mandakini</t>
  </si>
  <si>
    <t>Lucknow</t>
  </si>
  <si>
    <t>Uday</t>
  </si>
  <si>
    <t>Parul</t>
  </si>
  <si>
    <t>Timsi</t>
  </si>
  <si>
    <t>Patil</t>
  </si>
  <si>
    <t>Veena</t>
  </si>
  <si>
    <t>Sheikh</t>
  </si>
  <si>
    <t>Waheda</t>
  </si>
  <si>
    <t>Kanpur</t>
  </si>
  <si>
    <t>Asha</t>
  </si>
  <si>
    <t>Zha</t>
  </si>
  <si>
    <t>Anuradha</t>
  </si>
  <si>
    <t>Darekar</t>
  </si>
  <si>
    <t>Geeta</t>
  </si>
  <si>
    <t>Parmar</t>
  </si>
  <si>
    <t>Disha</t>
  </si>
  <si>
    <t>Panchal</t>
  </si>
  <si>
    <t>Maya</t>
  </si>
  <si>
    <t>Surti</t>
  </si>
  <si>
    <t>Katti</t>
  </si>
  <si>
    <t>Joglekar</t>
  </si>
  <si>
    <t>Kajal</t>
  </si>
  <si>
    <t>Guwahati</t>
  </si>
  <si>
    <t>Rao</t>
  </si>
  <si>
    <t>Lalita</t>
  </si>
  <si>
    <t>Virsinghani</t>
  </si>
  <si>
    <t>Vishal</t>
  </si>
  <si>
    <t>Sheth</t>
  </si>
  <si>
    <t>Mehul</t>
  </si>
  <si>
    <t>Godbole</t>
  </si>
  <si>
    <t>Heena</t>
  </si>
  <si>
    <t>Fernandes</t>
  </si>
  <si>
    <t>Mario</t>
  </si>
  <si>
    <t>Baroda</t>
  </si>
  <si>
    <t>Baig</t>
  </si>
  <si>
    <t>Ruheal</t>
  </si>
  <si>
    <t>cochin</t>
  </si>
  <si>
    <t>Kumar</t>
  </si>
  <si>
    <t>Rakesh</t>
  </si>
  <si>
    <t>Neha</t>
  </si>
  <si>
    <t>Vicky</t>
  </si>
  <si>
    <t>Jeena</t>
  </si>
  <si>
    <t>Kinnari</t>
  </si>
  <si>
    <t>Shaheen</t>
  </si>
  <si>
    <t>Piyush</t>
  </si>
  <si>
    <t>Gokhale</t>
  </si>
  <si>
    <t>Pooja</t>
  </si>
  <si>
    <t>Sardesai</t>
  </si>
  <si>
    <t>Kirtikar</t>
  </si>
  <si>
    <t>Manglore</t>
  </si>
  <si>
    <t>Raje</t>
  </si>
  <si>
    <t>Richa</t>
  </si>
  <si>
    <t>Dodhia</t>
  </si>
  <si>
    <t>Sheetal</t>
  </si>
  <si>
    <t>Pednekar</t>
  </si>
  <si>
    <t>Chitra</t>
  </si>
  <si>
    <t>Parikh</t>
  </si>
  <si>
    <t>Shilpa</t>
  </si>
  <si>
    <t>Khetan</t>
  </si>
  <si>
    <t>Arun</t>
  </si>
  <si>
    <t>Zarina</t>
  </si>
  <si>
    <t>Ambala</t>
  </si>
  <si>
    <t>Ghoshal</t>
  </si>
  <si>
    <t>Tapan</t>
  </si>
  <si>
    <t>Ankur</t>
  </si>
  <si>
    <t>Giriraj</t>
  </si>
  <si>
    <t>Patna</t>
  </si>
  <si>
    <t>Qureshi</t>
  </si>
  <si>
    <t>Aalam</t>
  </si>
  <si>
    <t>Hoonjan</t>
  </si>
  <si>
    <t>Hajra</t>
  </si>
  <si>
    <t>Bhaduri</t>
  </si>
  <si>
    <t>Mala</t>
  </si>
  <si>
    <t>Malik</t>
  </si>
  <si>
    <t>Rishi</t>
  </si>
  <si>
    <t>Shetty</t>
  </si>
  <si>
    <t>Bharat</t>
  </si>
  <si>
    <t>DEPARTMENTWISE REGIONWISE TOTAL SALARY</t>
  </si>
  <si>
    <t>Khurana</t>
  </si>
  <si>
    <t>Jasbinder</t>
  </si>
  <si>
    <t>Nasik</t>
  </si>
  <si>
    <t>Nimkar</t>
  </si>
  <si>
    <t>Shazia</t>
  </si>
  <si>
    <t>Suchita</t>
  </si>
  <si>
    <t>Satinder Kaur</t>
  </si>
  <si>
    <t>Sadiq</t>
  </si>
  <si>
    <t>Farhan</t>
  </si>
  <si>
    <t>Mathura</t>
  </si>
  <si>
    <t>Khanna</t>
  </si>
  <si>
    <t>Parvati</t>
  </si>
  <si>
    <t>Dixit</t>
  </si>
  <si>
    <t>Aakash</t>
  </si>
  <si>
    <t>Aalok</t>
  </si>
  <si>
    <t>Shirodkar</t>
  </si>
  <si>
    <t>Priya</t>
  </si>
  <si>
    <t>(output should look like same as picture)</t>
  </si>
  <si>
    <t>Narayanan</t>
  </si>
  <si>
    <t>K. Sita</t>
  </si>
  <si>
    <t>Task 3</t>
  </si>
  <si>
    <t>Director</t>
  </si>
  <si>
    <t>Lalwani</t>
  </si>
  <si>
    <t>Meera</t>
  </si>
  <si>
    <t>West</t>
  </si>
  <si>
    <t>Lele</t>
  </si>
  <si>
    <t>East</t>
  </si>
  <si>
    <t>Madhrani</t>
  </si>
  <si>
    <t>Sujay</t>
  </si>
  <si>
    <t>South</t>
  </si>
  <si>
    <t>Fernendes</t>
  </si>
  <si>
    <t>Andre</t>
  </si>
  <si>
    <t>North</t>
  </si>
  <si>
    <t>Sutradhar</t>
  </si>
  <si>
    <t>Pankaj</t>
  </si>
  <si>
    <t>Average Salary</t>
  </si>
  <si>
    <t>Total no of Emp</t>
  </si>
  <si>
    <t>Total Salary</t>
  </si>
  <si>
    <t>REGION</t>
  </si>
  <si>
    <t>Mukherjee</t>
  </si>
  <si>
    <t>Neena</t>
  </si>
  <si>
    <t>Task 2</t>
  </si>
  <si>
    <t>Jain</t>
  </si>
  <si>
    <t>Deepak</t>
  </si>
  <si>
    <t>D'Souza</t>
  </si>
  <si>
    <t>Julie</t>
  </si>
  <si>
    <t>Ranganathan</t>
  </si>
  <si>
    <t>Seema</t>
  </si>
  <si>
    <t>Min Salary</t>
  </si>
  <si>
    <t>Mavadia</t>
  </si>
  <si>
    <t>Max Salary</t>
  </si>
  <si>
    <t>Kuldeep</t>
  </si>
  <si>
    <t>Total Salary Distributed</t>
  </si>
  <si>
    <t>Shinde</t>
  </si>
  <si>
    <t>Suman</t>
  </si>
  <si>
    <t>Raymondekar</t>
  </si>
  <si>
    <t>Raja</t>
  </si>
  <si>
    <t>Task 1</t>
  </si>
  <si>
    <t>Salary</t>
  </si>
  <si>
    <t>Date Hire</t>
  </si>
  <si>
    <t>Branches</t>
  </si>
  <si>
    <t>Region</t>
  </si>
  <si>
    <t>Department</t>
  </si>
  <si>
    <t>Last name</t>
  </si>
  <si>
    <t>First name</t>
  </si>
  <si>
    <t>SNO</t>
  </si>
  <si>
    <t>Use name range, cell referencing for calculations</t>
  </si>
  <si>
    <t>Types of Cell Reference in Excel</t>
  </si>
  <si>
    <t>1. Relative cell references</t>
  </si>
  <si>
    <t>2. Absolute cell references</t>
  </si>
  <si>
    <t>3. Mixed cell references in Excel</t>
  </si>
  <si>
    <t>Order Date</t>
  </si>
  <si>
    <t>Product</t>
  </si>
  <si>
    <t>SalesRep</t>
  </si>
  <si>
    <t>Customer</t>
  </si>
  <si>
    <t>Order Quantity</t>
  </si>
  <si>
    <t>Unit Price</t>
  </si>
  <si>
    <t>Total Price</t>
  </si>
  <si>
    <t>Sauvignon Blanc</t>
  </si>
  <si>
    <t>Sean</t>
  </si>
  <si>
    <t>AA</t>
  </si>
  <si>
    <t>Chardonnay</t>
  </si>
  <si>
    <t>Gerald</t>
  </si>
  <si>
    <t>KBTB</t>
  </si>
  <si>
    <t>Reisling</t>
  </si>
  <si>
    <t>Pam</t>
  </si>
  <si>
    <t>AST</t>
  </si>
  <si>
    <t>SFWK</t>
  </si>
  <si>
    <t>FM</t>
  </si>
  <si>
    <t>Kayen</t>
  </si>
  <si>
    <t>WSD</t>
  </si>
  <si>
    <t>PCC</t>
  </si>
  <si>
    <t>Cell Refrenecing</t>
  </si>
  <si>
    <t>1. Relative cell referencing</t>
  </si>
  <si>
    <t>3. Mixed Reference</t>
  </si>
  <si>
    <t>2. Absolute cell referencing</t>
  </si>
  <si>
    <t>Realtive : can change</t>
  </si>
  <si>
    <t>Absolute : Freeze</t>
  </si>
  <si>
    <t>To Freeze use : $</t>
  </si>
  <si>
    <t>$A3</t>
  </si>
  <si>
    <t>Absolute</t>
  </si>
  <si>
    <t>Mixed</t>
  </si>
  <si>
    <t>column</t>
  </si>
  <si>
    <t>row</t>
  </si>
  <si>
    <t>A$3</t>
  </si>
  <si>
    <t>Relative</t>
  </si>
  <si>
    <t>Called</t>
  </si>
  <si>
    <t>A3</t>
  </si>
  <si>
    <t>both</t>
  </si>
  <si>
    <t>none</t>
  </si>
  <si>
    <t>Realtive</t>
  </si>
  <si>
    <t>$A$3</t>
  </si>
  <si>
    <t>Fixed Discount</t>
  </si>
  <si>
    <t>Function with name range</t>
  </si>
  <si>
    <t>Sr. No</t>
  </si>
  <si>
    <t>Maxif</t>
  </si>
  <si>
    <t>Max</t>
  </si>
  <si>
    <t>Minif</t>
  </si>
  <si>
    <t>Min</t>
  </si>
  <si>
    <t>Sum</t>
  </si>
  <si>
    <t>count</t>
  </si>
  <si>
    <t>Total Name</t>
  </si>
  <si>
    <t>Average</t>
  </si>
  <si>
    <t>Sumif</t>
  </si>
  <si>
    <t>countif</t>
  </si>
  <si>
    <t>Count</t>
  </si>
  <si>
    <t>Averageif</t>
  </si>
  <si>
    <t>Sumifs</t>
  </si>
  <si>
    <t>countifs</t>
  </si>
  <si>
    <t>Averageifs</t>
  </si>
  <si>
    <t>countblank</t>
  </si>
  <si>
    <t>counta</t>
  </si>
  <si>
    <t>Total Employees</t>
  </si>
  <si>
    <t>used to count a range of cells containing numbers or dates excluding blanks.</t>
  </si>
  <si>
    <t>used to count everything excluding blanks. </t>
  </si>
  <si>
    <t>used to count only blanks</t>
  </si>
  <si>
    <t>Employees not assigned any branch</t>
  </si>
  <si>
    <t>Total Employees with complete record</t>
  </si>
  <si>
    <t>HRA</t>
  </si>
  <si>
    <t>DA</t>
  </si>
  <si>
    <t>Gross</t>
  </si>
  <si>
    <t>Sales/Mktg</t>
  </si>
  <si>
    <t>if salary&lt;10000</t>
  </si>
  <si>
    <t>To add $</t>
  </si>
  <si>
    <t>F4</t>
  </si>
  <si>
    <t>Multiplication (30)</t>
  </si>
  <si>
    <t>ID</t>
  </si>
  <si>
    <t>Total Sale</t>
  </si>
  <si>
    <t>Atl + = for AutoSum</t>
  </si>
  <si>
    <t>Null % of branch Field</t>
  </si>
  <si>
    <t>abc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</si>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</sst>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_ * #,##0.00_ ;_ * \-#,##0.00_ ;_ * &quot;-&quot;??_ ;_ @_ "/>
    <numFmt numFmtId="165" formatCode="&quot;₹&quot;\ #,##0.00"/>
    <numFmt numFmtId="166" formatCode="&quot;₹&quot;\ #,##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6"/>
      <color theme="1"/>
      <name val="Calibri"/>
      <family val="2"/>
    </font>
    <font>
      <b/>
      <sz val="10"/>
      <color rgb="FF000000"/>
      <name val="Open Sans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rgb="FF99FF66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1" xfId="0" applyFont="1" applyBorder="1"/>
    <xf numFmtId="0" fontId="5" fillId="0" borderId="0" xfId="0" applyFont="1"/>
    <xf numFmtId="0" fontId="3" fillId="2" borderId="0" xfId="0" applyFont="1" applyFill="1"/>
    <xf numFmtId="0" fontId="6" fillId="0" borderId="1" xfId="0" applyFont="1" applyBorder="1"/>
    <xf numFmtId="0" fontId="5" fillId="0" borderId="1" xfId="0" applyFont="1" applyBorder="1"/>
    <xf numFmtId="0" fontId="3" fillId="0" borderId="1" xfId="0" applyFont="1" applyBorder="1"/>
    <xf numFmtId="0" fontId="7" fillId="3" borderId="1" xfId="0" applyFont="1" applyFill="1" applyBorder="1"/>
    <xf numFmtId="0" fontId="8" fillId="0" borderId="0" xfId="0" applyFont="1"/>
    <xf numFmtId="0" fontId="9" fillId="4" borderId="1" xfId="0" applyFont="1" applyFill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8" fontId="10" fillId="0" borderId="1" xfId="0" applyNumberFormat="1" applyFont="1" applyBorder="1" applyAlignment="1">
      <alignment horizontal="center"/>
    </xf>
    <xf numFmtId="0" fontId="2" fillId="0" borderId="0" xfId="0" applyFont="1"/>
    <xf numFmtId="0" fontId="0" fillId="2" borderId="0" xfId="0" applyFill="1"/>
    <xf numFmtId="0" fontId="5" fillId="2" borderId="0" xfId="0" applyFont="1" applyFill="1"/>
    <xf numFmtId="0" fontId="2" fillId="2" borderId="0" xfId="0" applyFont="1" applyFill="1"/>
    <xf numFmtId="9" fontId="2" fillId="0" borderId="0" xfId="0" applyNumberFormat="1" applyFont="1"/>
    <xf numFmtId="0" fontId="11" fillId="5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14" fontId="12" fillId="0" borderId="1" xfId="0" applyNumberFormat="1" applyFont="1" applyBorder="1" applyAlignment="1">
      <alignment horizontal="center"/>
    </xf>
    <xf numFmtId="165" fontId="12" fillId="0" borderId="1" xfId="0" applyNumberFormat="1" applyFont="1" applyBorder="1" applyAlignment="1">
      <alignment horizontal="center"/>
    </xf>
    <xf numFmtId="0" fontId="13" fillId="0" borderId="2" xfId="0" applyFont="1" applyBorder="1"/>
    <xf numFmtId="0" fontId="14" fillId="0" borderId="3" xfId="0" applyFont="1" applyBorder="1"/>
    <xf numFmtId="0" fontId="13" fillId="0" borderId="3" xfId="0" applyFont="1" applyBorder="1"/>
    <xf numFmtId="165" fontId="14" fillId="0" borderId="3" xfId="0" applyNumberFormat="1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166" fontId="12" fillId="0" borderId="1" xfId="0" applyNumberFormat="1" applyFont="1" applyBorder="1" applyAlignment="1">
      <alignment horizontal="center"/>
    </xf>
    <xf numFmtId="0" fontId="15" fillId="0" borderId="0" xfId="0" applyFont="1"/>
    <xf numFmtId="0" fontId="12" fillId="0" borderId="0" xfId="0" applyFont="1" applyAlignment="1">
      <alignment horizontal="center"/>
    </xf>
    <xf numFmtId="166" fontId="12" fillId="0" borderId="0" xfId="0" applyNumberFormat="1" applyFont="1" applyAlignment="1">
      <alignment horizontal="center"/>
    </xf>
    <xf numFmtId="0" fontId="2" fillId="2" borderId="1" xfId="0" applyFont="1" applyFill="1" applyBorder="1"/>
    <xf numFmtId="9" fontId="2" fillId="0" borderId="1" xfId="0" applyNumberFormat="1" applyFont="1" applyBorder="1"/>
    <xf numFmtId="0" fontId="2" fillId="0" borderId="1" xfId="0" applyFont="1" applyBorder="1"/>
    <xf numFmtId="166" fontId="12" fillId="0" borderId="1" xfId="0" quotePrefix="1" applyNumberFormat="1" applyFont="1" applyBorder="1" applyAlignment="1">
      <alignment horizontal="center"/>
    </xf>
    <xf numFmtId="165" fontId="0" fillId="0" borderId="1" xfId="0" applyNumberFormat="1" applyBorder="1"/>
    <xf numFmtId="165" fontId="0" fillId="6" borderId="1" xfId="0" applyNumberFormat="1" applyFill="1" applyBorder="1"/>
    <xf numFmtId="165" fontId="0" fillId="0" borderId="0" xfId="0" quotePrefix="1" applyNumberFormat="1"/>
    <xf numFmtId="0" fontId="12" fillId="0" borderId="1" xfId="0" quotePrefix="1" applyFont="1" applyBorder="1" applyAlignment="1">
      <alignment horizontal="center"/>
    </xf>
    <xf numFmtId="0" fontId="0" fillId="0" borderId="4" xfId="0" quotePrefix="1" applyBorder="1"/>
    <xf numFmtId="0" fontId="16" fillId="2" borderId="1" xfId="0" applyFont="1" applyFill="1" applyBorder="1" applyAlignment="1">
      <alignment horizontal="center"/>
    </xf>
    <xf numFmtId="8" fontId="10" fillId="0" borderId="0" xfId="0" applyNumberFormat="1" applyFont="1" applyAlignment="1">
      <alignment horizontal="center"/>
    </xf>
    <xf numFmtId="2" fontId="10" fillId="0" borderId="1" xfId="0" applyNumberFormat="1" applyFont="1" applyBorder="1" applyAlignment="1">
      <alignment horizontal="center"/>
    </xf>
    <xf numFmtId="0" fontId="10" fillId="0" borderId="1" xfId="0" quotePrefix="1" applyFont="1" applyBorder="1" applyAlignment="1">
      <alignment horizontal="center"/>
    </xf>
    <xf numFmtId="1" fontId="8" fillId="0" borderId="0" xfId="0" applyNumberFormat="1" applyFont="1"/>
    <xf numFmtId="1" fontId="7" fillId="3" borderId="1" xfId="0" applyNumberFormat="1" applyFont="1" applyFill="1" applyBorder="1"/>
    <xf numFmtId="1" fontId="4" fillId="0" borderId="1" xfId="0" applyNumberFormat="1" applyFont="1" applyBorder="1"/>
    <xf numFmtId="1" fontId="3" fillId="0" borderId="0" xfId="0" applyNumberFormat="1" applyFont="1"/>
    <xf numFmtId="14" fontId="3" fillId="0" borderId="0" xfId="0" applyNumberFormat="1" applyFont="1"/>
    <xf numFmtId="14" fontId="7" fillId="3" borderId="1" xfId="0" applyNumberFormat="1" applyFont="1" applyFill="1" applyBorder="1"/>
    <xf numFmtId="14" fontId="4" fillId="0" borderId="1" xfId="0" applyNumberFormat="1" applyFont="1" applyBorder="1"/>
    <xf numFmtId="166" fontId="3" fillId="0" borderId="0" xfId="1" applyNumberFormat="1" applyFont="1"/>
    <xf numFmtId="166" fontId="7" fillId="3" borderId="1" xfId="1" applyNumberFormat="1" applyFont="1" applyFill="1" applyBorder="1"/>
    <xf numFmtId="166" fontId="4" fillId="0" borderId="1" xfId="1" applyNumberFormat="1" applyFont="1" applyBorder="1"/>
    <xf numFmtId="166" fontId="3" fillId="0" borderId="1" xfId="0" applyNumberFormat="1" applyFont="1" applyBorder="1"/>
    <xf numFmtId="8" fontId="0" fillId="0" borderId="0" xfId="0" applyNumberFormat="1"/>
    <xf numFmtId="165" fontId="0" fillId="0" borderId="0" xfId="0" applyNumberFormat="1"/>
    <xf numFmtId="0" fontId="5" fillId="2" borderId="0" xfId="0" applyFont="1" applyFill="1" applyAlignment="1">
      <alignment horizontal="left"/>
    </xf>
    <xf numFmtId="0" fontId="11" fillId="5" borderId="1" xfId="0" applyFont="1" applyFill="1" applyBorder="1"/>
    <xf numFmtId="0" fontId="11" fillId="5" borderId="1" xfId="0" applyFont="1" applyFill="1" applyBorder="1" applyAlignment="1">
      <alignment horizontal="left"/>
    </xf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2.png"/><Relationship Id="rId1" Type="http://schemas.openxmlformats.org/officeDocument/2006/relationships/customXml" Target="../ink/ink1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68580</xdr:colOff>
      <xdr:row>17</xdr:row>
      <xdr:rowOff>137160</xdr:rowOff>
    </xdr:from>
    <xdr:ext cx="6866267" cy="2134897"/>
    <xdr:pic>
      <xdr:nvPicPr>
        <xdr:cNvPr id="2" name="Picture 1">
          <a:extLst>
            <a:ext uri="{FF2B5EF4-FFF2-40B4-BE49-F238E27FC236}">
              <a16:creationId xmlns:a16="http://schemas.microsoft.com/office/drawing/2014/main" id="{3864DA0F-790C-489E-A78B-95D31F83F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57900" y="4671060"/>
          <a:ext cx="6866267" cy="213489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281880</xdr:colOff>
      <xdr:row>23</xdr:row>
      <xdr:rowOff>7497</xdr:rowOff>
    </xdr:from>
    <xdr:to>
      <xdr:col>1</xdr:col>
      <xdr:colOff>540000</xdr:colOff>
      <xdr:row>25</xdr:row>
      <xdr:rowOff>102997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2F1DAF2B-66EB-7390-657D-864EDFD48B03}"/>
                </a:ext>
              </a:extLst>
            </xdr14:cNvPr>
            <xdr14:cNvContentPartPr/>
          </xdr14:nvContentPartPr>
          <xdr14:nvPr macro=""/>
          <xdr14:xfrm>
            <a:off x="2110680" y="4473480"/>
            <a:ext cx="258120" cy="46656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2F1DAF2B-66EB-7390-657D-864EDFD48B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102040" y="4464840"/>
              <a:ext cx="275760" cy="48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95358</xdr:colOff>
      <xdr:row>24</xdr:row>
      <xdr:rowOff>117887</xdr:rowOff>
    </xdr:from>
    <xdr:to>
      <xdr:col>5</xdr:col>
      <xdr:colOff>103998</xdr:colOff>
      <xdr:row>25</xdr:row>
      <xdr:rowOff>11917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7FAC5955-6A1E-9BE5-7DC6-A8AE2E5C295C}"/>
                </a:ext>
              </a:extLst>
            </xdr14:cNvPr>
            <xdr14:cNvContentPartPr/>
          </xdr14:nvContentPartPr>
          <xdr14:nvPr macro=""/>
          <xdr14:xfrm>
            <a:off x="4799880" y="4769400"/>
            <a:ext cx="8640" cy="7956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7FAC5955-6A1E-9BE5-7DC6-A8AE2E5C295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790880" y="4760760"/>
              <a:ext cx="26280" cy="97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8-30T10:16:31.14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1889,'0'0'0,"28"167"-16,-5-41-64,19 10-1265,13-11 913,15-22 432,7-18 272,2-7 432,-7-5-383,0 0 239,-7 3-512,-7 5-48,-14 5-96,-13 0-945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8-30T10:20:58.36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1 144,'23'220'0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N102"/>
  <sheetViews>
    <sheetView tabSelected="1" topLeftCell="D29" workbookViewId="0">
      <selection activeCell="J38" sqref="J38"/>
    </sheetView>
  </sheetViews>
  <sheetFormatPr defaultColWidth="8.85546875" defaultRowHeight="21" x14ac:dyDescent="0.35"/>
  <cols>
    <col min="1" max="1" width="8.42578125" style="50" bestFit="1" customWidth="1"/>
    <col min="2" max="2" width="11.42578125" style="1" bestFit="1" customWidth="1"/>
    <col min="3" max="3" width="11.7109375" style="1" bestFit="1" customWidth="1"/>
    <col min="4" max="4" width="10.28515625" style="1" bestFit="1" customWidth="1"/>
    <col min="5" max="5" width="6.28515625" style="1" bestFit="1" customWidth="1"/>
    <col min="6" max="6" width="10.85546875" style="1" bestFit="1" customWidth="1"/>
    <col min="7" max="7" width="10.140625" style="51" bestFit="1" customWidth="1"/>
    <col min="8" max="8" width="13.42578125" style="54" bestFit="1" customWidth="1"/>
    <col min="9" max="9" width="8.85546875" style="1"/>
    <col min="10" max="10" width="63.5703125" style="1" bestFit="1" customWidth="1"/>
    <col min="11" max="11" width="16.140625" style="1" bestFit="1" customWidth="1"/>
    <col min="12" max="12" width="16.7109375" style="1" bestFit="1" customWidth="1"/>
    <col min="13" max="13" width="15.7109375" style="1" bestFit="1" customWidth="1"/>
    <col min="14" max="14" width="11.140625" style="1" customWidth="1"/>
    <col min="15" max="16384" width="8.85546875" style="1"/>
  </cols>
  <sheetData>
    <row r="1" spans="1:13" x14ac:dyDescent="0.35">
      <c r="A1" s="47" t="s">
        <v>240</v>
      </c>
    </row>
    <row r="2" spans="1:13" x14ac:dyDescent="0.35">
      <c r="A2" s="48" t="s">
        <v>239</v>
      </c>
      <c r="B2" s="8" t="s">
        <v>238</v>
      </c>
      <c r="C2" s="8" t="s">
        <v>237</v>
      </c>
      <c r="D2" s="8" t="s">
        <v>236</v>
      </c>
      <c r="E2" s="8" t="s">
        <v>235</v>
      </c>
      <c r="F2" s="8" t="s">
        <v>234</v>
      </c>
      <c r="G2" s="52" t="s">
        <v>233</v>
      </c>
      <c r="H2" s="55" t="s">
        <v>232</v>
      </c>
      <c r="J2" s="4" t="s">
        <v>231</v>
      </c>
    </row>
    <row r="3" spans="1:13" x14ac:dyDescent="0.35">
      <c r="A3" s="49">
        <v>1</v>
      </c>
      <c r="B3" s="2" t="s">
        <v>230</v>
      </c>
      <c r="C3" s="2" t="s">
        <v>229</v>
      </c>
      <c r="D3" s="2" t="s">
        <v>28</v>
      </c>
      <c r="E3" s="2" t="s">
        <v>10</v>
      </c>
      <c r="F3" s="2" t="s">
        <v>64</v>
      </c>
      <c r="G3" s="53">
        <v>28126</v>
      </c>
      <c r="H3" s="56">
        <v>21875</v>
      </c>
      <c r="J3" s="6" t="s">
        <v>210</v>
      </c>
      <c r="K3" s="7">
        <f>COUNTA(C3:C102)</f>
        <v>100</v>
      </c>
    </row>
    <row r="4" spans="1:13" x14ac:dyDescent="0.35">
      <c r="A4" s="49">
        <v>2</v>
      </c>
      <c r="B4" s="2" t="s">
        <v>228</v>
      </c>
      <c r="C4" s="2" t="s">
        <v>227</v>
      </c>
      <c r="D4" s="2" t="s">
        <v>28</v>
      </c>
      <c r="E4" s="2" t="s">
        <v>32</v>
      </c>
      <c r="F4" s="2" t="s">
        <v>58</v>
      </c>
      <c r="G4" s="53">
        <v>28126</v>
      </c>
      <c r="H4" s="56">
        <v>17500</v>
      </c>
      <c r="J4" s="6" t="s">
        <v>226</v>
      </c>
      <c r="K4" s="57">
        <f>SUM(H3:H102)</f>
        <v>1553825</v>
      </c>
    </row>
    <row r="5" spans="1:13" x14ac:dyDescent="0.35">
      <c r="A5" s="49">
        <v>3</v>
      </c>
      <c r="B5" s="2" t="s">
        <v>225</v>
      </c>
      <c r="C5" s="2" t="s">
        <v>19</v>
      </c>
      <c r="D5" s="2" t="s">
        <v>75</v>
      </c>
      <c r="E5" s="2" t="s">
        <v>1</v>
      </c>
      <c r="F5" s="2" t="s">
        <v>0</v>
      </c>
      <c r="G5" s="53">
        <v>36220</v>
      </c>
      <c r="H5" s="56">
        <v>7000</v>
      </c>
      <c r="J5" s="6" t="s">
        <v>224</v>
      </c>
      <c r="K5" s="57">
        <f>MAX(H3:H102)</f>
        <v>49000</v>
      </c>
    </row>
    <row r="6" spans="1:13" x14ac:dyDescent="0.35">
      <c r="A6" s="49">
        <v>4</v>
      </c>
      <c r="B6" s="2" t="s">
        <v>20</v>
      </c>
      <c r="C6" s="2" t="s">
        <v>223</v>
      </c>
      <c r="D6" s="2" t="s">
        <v>22</v>
      </c>
      <c r="E6" s="2" t="s">
        <v>10</v>
      </c>
      <c r="F6" s="2" t="s">
        <v>9</v>
      </c>
      <c r="G6" s="53">
        <v>29183</v>
      </c>
      <c r="H6" s="56">
        <v>12250</v>
      </c>
      <c r="J6" s="6" t="s">
        <v>222</v>
      </c>
      <c r="K6" s="57">
        <f>MIN(H3:H102)</f>
        <v>5950</v>
      </c>
    </row>
    <row r="7" spans="1:13" x14ac:dyDescent="0.35">
      <c r="A7" s="49">
        <v>5</v>
      </c>
      <c r="B7" s="2" t="s">
        <v>221</v>
      </c>
      <c r="C7" s="2" t="s">
        <v>220</v>
      </c>
      <c r="D7" s="2" t="s">
        <v>15</v>
      </c>
      <c r="E7" s="2" t="s">
        <v>10</v>
      </c>
      <c r="F7" s="2" t="s">
        <v>104</v>
      </c>
      <c r="G7" s="53">
        <v>32755</v>
      </c>
      <c r="H7" s="56">
        <v>21000</v>
      </c>
      <c r="J7" s="6" t="s">
        <v>209</v>
      </c>
      <c r="K7" s="57">
        <f>AVERAGE(H3:H102)</f>
        <v>15538.25</v>
      </c>
    </row>
    <row r="8" spans="1:13" x14ac:dyDescent="0.35">
      <c r="A8" s="49">
        <v>6</v>
      </c>
      <c r="B8" s="2" t="s">
        <v>219</v>
      </c>
      <c r="C8" s="2" t="s">
        <v>218</v>
      </c>
      <c r="D8" s="2" t="s">
        <v>15</v>
      </c>
      <c r="E8" s="2" t="s">
        <v>10</v>
      </c>
      <c r="F8" s="2" t="s">
        <v>183</v>
      </c>
      <c r="G8" s="53">
        <v>32390</v>
      </c>
      <c r="H8" s="56">
        <v>12425</v>
      </c>
    </row>
    <row r="9" spans="1:13" x14ac:dyDescent="0.35">
      <c r="A9" s="49">
        <v>7</v>
      </c>
      <c r="B9" s="2" t="s">
        <v>217</v>
      </c>
      <c r="C9" s="2" t="s">
        <v>216</v>
      </c>
      <c r="D9" s="2" t="s">
        <v>91</v>
      </c>
      <c r="E9" s="2" t="s">
        <v>6</v>
      </c>
      <c r="F9" s="2" t="s">
        <v>44</v>
      </c>
      <c r="G9" s="53">
        <v>33102</v>
      </c>
      <c r="H9" s="56">
        <v>13825</v>
      </c>
      <c r="J9" s="4" t="s">
        <v>215</v>
      </c>
    </row>
    <row r="10" spans="1:13" x14ac:dyDescent="0.35">
      <c r="A10" s="49">
        <v>8</v>
      </c>
      <c r="B10" s="2" t="s">
        <v>214</v>
      </c>
      <c r="C10" s="2" t="s">
        <v>213</v>
      </c>
      <c r="D10" s="2" t="s">
        <v>15</v>
      </c>
      <c r="E10" s="2" t="s">
        <v>10</v>
      </c>
      <c r="F10" s="2" t="s">
        <v>52</v>
      </c>
      <c r="G10" s="53">
        <v>32755</v>
      </c>
      <c r="H10" s="56">
        <v>12425</v>
      </c>
      <c r="J10" s="6" t="s">
        <v>212</v>
      </c>
      <c r="K10" s="6" t="s">
        <v>211</v>
      </c>
      <c r="L10" s="6" t="s">
        <v>210</v>
      </c>
      <c r="M10" s="6" t="s">
        <v>209</v>
      </c>
    </row>
    <row r="11" spans="1:13" x14ac:dyDescent="0.35">
      <c r="A11" s="49">
        <v>9</v>
      </c>
      <c r="B11" s="2" t="s">
        <v>208</v>
      </c>
      <c r="C11" s="2" t="s">
        <v>207</v>
      </c>
      <c r="D11" s="2" t="s">
        <v>28</v>
      </c>
      <c r="E11" s="2" t="s">
        <v>10</v>
      </c>
      <c r="F11" s="2" t="s">
        <v>157</v>
      </c>
      <c r="G11" s="53">
        <v>36506</v>
      </c>
      <c r="H11" s="56">
        <v>14875</v>
      </c>
      <c r="J11" s="6" t="s">
        <v>206</v>
      </c>
      <c r="K11" s="5">
        <f>SUMIF($E$3:$E$102,$J11,$H$3:$H$102)</f>
        <v>633500</v>
      </c>
      <c r="L11" s="5">
        <f>COUNTIF($E$3:$E$102,$J11)</f>
        <v>40</v>
      </c>
      <c r="M11" s="5">
        <f>AVERAGEIF($E$3:$E$102,$J11,$H$3:$H$102)</f>
        <v>15837.5</v>
      </c>
    </row>
    <row r="12" spans="1:13" x14ac:dyDescent="0.35">
      <c r="A12" s="49">
        <v>10</v>
      </c>
      <c r="B12" s="2" t="s">
        <v>205</v>
      </c>
      <c r="C12" s="2" t="s">
        <v>204</v>
      </c>
      <c r="D12" s="2" t="s">
        <v>22</v>
      </c>
      <c r="E12" s="2" t="s">
        <v>32</v>
      </c>
      <c r="F12" s="2" t="s">
        <v>78</v>
      </c>
      <c r="G12" s="53">
        <v>28326</v>
      </c>
      <c r="H12" s="56">
        <v>15750</v>
      </c>
      <c r="J12" s="6" t="s">
        <v>203</v>
      </c>
      <c r="K12" s="5">
        <f t="shared" ref="K12:K14" si="0">SUMIF($E$3:$E$102,$J12,$H$3:$H$102)</f>
        <v>336000</v>
      </c>
      <c r="L12" s="5">
        <f t="shared" ref="L12:L14" si="1">COUNTIF($E$3:$E$102,$J12)</f>
        <v>20</v>
      </c>
      <c r="M12" s="5">
        <f t="shared" ref="M12:M14" si="2">AVERAGEIF($E$3:$E$102,$J12,$H$3:$H$102)</f>
        <v>16800</v>
      </c>
    </row>
    <row r="13" spans="1:13" x14ac:dyDescent="0.35">
      <c r="A13" s="49">
        <v>11</v>
      </c>
      <c r="B13" s="2" t="s">
        <v>202</v>
      </c>
      <c r="C13" s="2" t="s">
        <v>201</v>
      </c>
      <c r="D13" s="2" t="s">
        <v>2</v>
      </c>
      <c r="E13" s="2" t="s">
        <v>6</v>
      </c>
      <c r="F13" s="2" t="s">
        <v>44</v>
      </c>
      <c r="G13" s="53">
        <v>31402</v>
      </c>
      <c r="H13" s="56">
        <v>14875</v>
      </c>
      <c r="J13" s="6" t="s">
        <v>200</v>
      </c>
      <c r="K13" s="5">
        <f t="shared" si="0"/>
        <v>307125</v>
      </c>
      <c r="L13" s="5">
        <f t="shared" si="1"/>
        <v>20</v>
      </c>
      <c r="M13" s="5">
        <f t="shared" si="2"/>
        <v>15356.25</v>
      </c>
    </row>
    <row r="14" spans="1:13" x14ac:dyDescent="0.35">
      <c r="A14" s="49">
        <v>12</v>
      </c>
      <c r="B14" s="2" t="s">
        <v>153</v>
      </c>
      <c r="C14" s="2" t="s">
        <v>199</v>
      </c>
      <c r="D14" s="2" t="s">
        <v>75</v>
      </c>
      <c r="E14" s="2" t="s">
        <v>10</v>
      </c>
      <c r="F14" s="2" t="s">
        <v>49</v>
      </c>
      <c r="G14" s="53">
        <v>30376</v>
      </c>
      <c r="H14" s="56">
        <v>21000</v>
      </c>
      <c r="J14" s="6" t="s">
        <v>198</v>
      </c>
      <c r="K14" s="5">
        <f t="shared" si="0"/>
        <v>277200</v>
      </c>
      <c r="L14" s="5">
        <f t="shared" si="1"/>
        <v>20</v>
      </c>
      <c r="M14" s="5">
        <f t="shared" si="2"/>
        <v>13860</v>
      </c>
    </row>
    <row r="15" spans="1:13" x14ac:dyDescent="0.35">
      <c r="A15" s="49">
        <v>13</v>
      </c>
      <c r="B15" s="2" t="s">
        <v>197</v>
      </c>
      <c r="C15" s="2" t="s">
        <v>196</v>
      </c>
      <c r="D15" s="2" t="s">
        <v>2</v>
      </c>
      <c r="E15" s="2" t="s">
        <v>32</v>
      </c>
      <c r="F15" s="2" t="s">
        <v>35</v>
      </c>
      <c r="G15" s="53">
        <v>31027</v>
      </c>
      <c r="H15" s="56">
        <v>19250</v>
      </c>
    </row>
    <row r="16" spans="1:13" x14ac:dyDescent="0.35">
      <c r="A16" s="49">
        <v>14</v>
      </c>
      <c r="B16" s="2" t="s">
        <v>149</v>
      </c>
      <c r="C16" s="2" t="s">
        <v>94</v>
      </c>
      <c r="D16" s="2" t="s">
        <v>195</v>
      </c>
      <c r="E16" s="2" t="s">
        <v>1</v>
      </c>
      <c r="F16" s="2" t="s">
        <v>132</v>
      </c>
      <c r="G16" s="53">
        <v>31028</v>
      </c>
      <c r="H16" s="56">
        <v>49000</v>
      </c>
      <c r="J16" s="4" t="s">
        <v>194</v>
      </c>
    </row>
    <row r="17" spans="1:14" x14ac:dyDescent="0.35">
      <c r="A17" s="49">
        <v>15</v>
      </c>
      <c r="B17" s="2" t="s">
        <v>193</v>
      </c>
      <c r="C17" s="2" t="s">
        <v>192</v>
      </c>
      <c r="D17" s="2" t="s">
        <v>91</v>
      </c>
      <c r="E17" s="2" t="s">
        <v>10</v>
      </c>
      <c r="F17" s="2" t="s">
        <v>49</v>
      </c>
      <c r="G17" s="53">
        <v>31029</v>
      </c>
      <c r="H17" s="56">
        <v>14875</v>
      </c>
      <c r="J17" s="1" t="s">
        <v>191</v>
      </c>
    </row>
    <row r="18" spans="1:14" x14ac:dyDescent="0.35">
      <c r="A18" s="49">
        <v>16</v>
      </c>
      <c r="B18" s="2" t="s">
        <v>190</v>
      </c>
      <c r="C18" s="2" t="s">
        <v>189</v>
      </c>
      <c r="D18" s="2" t="s">
        <v>91</v>
      </c>
      <c r="E18" s="2" t="s">
        <v>10</v>
      </c>
      <c r="F18" s="2" t="s">
        <v>38</v>
      </c>
      <c r="G18" s="53">
        <v>31030</v>
      </c>
      <c r="H18" s="56">
        <v>14875</v>
      </c>
    </row>
    <row r="19" spans="1:14" x14ac:dyDescent="0.35">
      <c r="A19" s="49">
        <v>17</v>
      </c>
      <c r="B19" s="2" t="s">
        <v>188</v>
      </c>
      <c r="C19" s="2" t="s">
        <v>29</v>
      </c>
      <c r="D19" s="2" t="s">
        <v>75</v>
      </c>
      <c r="E19" s="2" t="s">
        <v>32</v>
      </c>
      <c r="F19" s="2" t="s">
        <v>58</v>
      </c>
      <c r="G19" s="53">
        <v>30376</v>
      </c>
      <c r="H19" s="56">
        <v>15750</v>
      </c>
    </row>
    <row r="20" spans="1:14" x14ac:dyDescent="0.35">
      <c r="A20" s="49">
        <v>18</v>
      </c>
      <c r="B20" s="2" t="s">
        <v>187</v>
      </c>
      <c r="C20" s="2" t="s">
        <v>186</v>
      </c>
      <c r="D20" s="2" t="s">
        <v>75</v>
      </c>
      <c r="E20" s="2" t="s">
        <v>6</v>
      </c>
      <c r="F20" s="2" t="s">
        <v>176</v>
      </c>
      <c r="G20" s="53">
        <v>30376</v>
      </c>
      <c r="H20" s="56">
        <v>15750</v>
      </c>
    </row>
    <row r="21" spans="1:14" x14ac:dyDescent="0.35">
      <c r="A21" s="49">
        <v>19</v>
      </c>
      <c r="B21" s="2" t="s">
        <v>185</v>
      </c>
      <c r="C21" s="2" t="s">
        <v>184</v>
      </c>
      <c r="D21" s="2" t="s">
        <v>22</v>
      </c>
      <c r="E21" s="2" t="s">
        <v>10</v>
      </c>
      <c r="F21" s="2" t="s">
        <v>183</v>
      </c>
      <c r="G21" s="53">
        <v>31637</v>
      </c>
      <c r="H21" s="56">
        <v>10500</v>
      </c>
    </row>
    <row r="22" spans="1:14" x14ac:dyDescent="0.35">
      <c r="A22" s="49">
        <v>20</v>
      </c>
      <c r="B22" s="2" t="s">
        <v>182</v>
      </c>
      <c r="C22" s="2" t="s">
        <v>181</v>
      </c>
      <c r="D22" s="2" t="s">
        <v>22</v>
      </c>
      <c r="E22" s="2" t="s">
        <v>10</v>
      </c>
      <c r="F22" s="2" t="s">
        <v>38</v>
      </c>
      <c r="G22" s="53">
        <v>36316</v>
      </c>
      <c r="H22" s="56">
        <v>5950</v>
      </c>
    </row>
    <row r="23" spans="1:14" x14ac:dyDescent="0.35">
      <c r="A23" s="49">
        <v>21</v>
      </c>
      <c r="B23" s="2" t="s">
        <v>180</v>
      </c>
      <c r="C23" s="2" t="s">
        <v>50</v>
      </c>
      <c r="D23" s="2" t="s">
        <v>22</v>
      </c>
      <c r="E23" s="2" t="s">
        <v>32</v>
      </c>
      <c r="F23" s="2" t="s">
        <v>162</v>
      </c>
      <c r="G23" s="53">
        <v>36317</v>
      </c>
      <c r="H23" s="56">
        <v>7875</v>
      </c>
    </row>
    <row r="24" spans="1:14" x14ac:dyDescent="0.35">
      <c r="A24" s="49">
        <v>22</v>
      </c>
      <c r="B24" s="2" t="s">
        <v>179</v>
      </c>
      <c r="C24" s="2" t="s">
        <v>112</v>
      </c>
      <c r="D24" s="2" t="s">
        <v>22</v>
      </c>
      <c r="E24" s="2" t="s">
        <v>6</v>
      </c>
      <c r="F24" s="2" t="s">
        <v>176</v>
      </c>
      <c r="G24" s="53">
        <v>36318</v>
      </c>
      <c r="H24" s="56">
        <v>7875</v>
      </c>
    </row>
    <row r="25" spans="1:14" x14ac:dyDescent="0.35">
      <c r="A25" s="49">
        <v>23</v>
      </c>
      <c r="B25" s="2" t="s">
        <v>178</v>
      </c>
      <c r="C25" s="2" t="s">
        <v>102</v>
      </c>
      <c r="D25" s="2" t="s">
        <v>22</v>
      </c>
      <c r="E25" s="2" t="s">
        <v>6</v>
      </c>
      <c r="F25" s="2" t="s">
        <v>44</v>
      </c>
      <c r="G25" s="53">
        <v>36319</v>
      </c>
      <c r="H25" s="56">
        <v>7875</v>
      </c>
    </row>
    <row r="26" spans="1:14" x14ac:dyDescent="0.35">
      <c r="A26" s="49">
        <v>24</v>
      </c>
      <c r="B26" s="2" t="s">
        <v>142</v>
      </c>
      <c r="C26" s="2" t="s">
        <v>177</v>
      </c>
      <c r="D26" s="2" t="s">
        <v>28</v>
      </c>
      <c r="E26" s="2" t="s">
        <v>6</v>
      </c>
      <c r="F26" s="2" t="s">
        <v>176</v>
      </c>
      <c r="G26" s="53">
        <v>29362</v>
      </c>
      <c r="H26" s="56">
        <v>14875</v>
      </c>
    </row>
    <row r="27" spans="1:14" x14ac:dyDescent="0.35">
      <c r="A27" s="49">
        <v>25</v>
      </c>
      <c r="B27" s="2" t="s">
        <v>175</v>
      </c>
      <c r="C27" s="2" t="s">
        <v>174</v>
      </c>
      <c r="D27" s="2" t="s">
        <v>15</v>
      </c>
      <c r="E27" s="2" t="s">
        <v>1</v>
      </c>
      <c r="F27" s="2" t="s">
        <v>145</v>
      </c>
      <c r="G27" s="53">
        <v>36274</v>
      </c>
      <c r="H27" s="56">
        <v>7875</v>
      </c>
      <c r="J27" s="3" t="s">
        <v>173</v>
      </c>
    </row>
    <row r="28" spans="1:14" x14ac:dyDescent="0.35">
      <c r="A28" s="49">
        <v>26</v>
      </c>
      <c r="B28" s="2" t="s">
        <v>172</v>
      </c>
      <c r="C28" s="2" t="s">
        <v>171</v>
      </c>
      <c r="D28" s="2" t="s">
        <v>28</v>
      </c>
      <c r="E28" s="2" t="s">
        <v>32</v>
      </c>
      <c r="F28" s="2" t="s">
        <v>58</v>
      </c>
      <c r="G28" s="53">
        <v>30225</v>
      </c>
      <c r="H28" s="56">
        <v>19250</v>
      </c>
    </row>
    <row r="29" spans="1:14" x14ac:dyDescent="0.35">
      <c r="A29" s="49">
        <v>27</v>
      </c>
      <c r="B29" s="2" t="s">
        <v>170</v>
      </c>
      <c r="C29" s="2" t="s">
        <v>169</v>
      </c>
      <c r="D29" s="2" t="s">
        <v>28</v>
      </c>
      <c r="E29" s="2" t="s">
        <v>1</v>
      </c>
      <c r="F29" s="2" t="s">
        <v>21</v>
      </c>
      <c r="G29" s="53">
        <v>33787</v>
      </c>
      <c r="H29" s="56">
        <v>13125</v>
      </c>
    </row>
    <row r="30" spans="1:14" x14ac:dyDescent="0.35">
      <c r="A30" s="49">
        <v>28</v>
      </c>
      <c r="B30" s="2" t="s">
        <v>168</v>
      </c>
      <c r="C30" s="2" t="s">
        <v>167</v>
      </c>
      <c r="D30" s="2" t="s">
        <v>15</v>
      </c>
      <c r="E30" s="2" t="s">
        <v>6</v>
      </c>
      <c r="F30" s="2" t="s">
        <v>5</v>
      </c>
      <c r="G30" s="53">
        <v>34777</v>
      </c>
      <c r="H30" s="56">
        <v>10500</v>
      </c>
      <c r="J30" s="1" t="s">
        <v>236</v>
      </c>
      <c r="K30" s="1" t="s">
        <v>206</v>
      </c>
      <c r="L30" s="1" t="s">
        <v>203</v>
      </c>
      <c r="M30" s="1" t="s">
        <v>200</v>
      </c>
      <c r="N30" s="1" t="s">
        <v>198</v>
      </c>
    </row>
    <row r="31" spans="1:14" x14ac:dyDescent="0.35">
      <c r="A31" s="49">
        <v>29</v>
      </c>
      <c r="B31" s="2" t="s">
        <v>166</v>
      </c>
      <c r="C31" s="2" t="s">
        <v>165</v>
      </c>
      <c r="D31" s="2" t="s">
        <v>75</v>
      </c>
      <c r="E31" s="2" t="s">
        <v>10</v>
      </c>
      <c r="F31" s="2" t="s">
        <v>38</v>
      </c>
      <c r="G31" s="53">
        <v>35189</v>
      </c>
      <c r="H31" s="56">
        <v>9625</v>
      </c>
      <c r="J31" s="1" t="str" cm="1">
        <f t="array" ref="J31:J38">_xlfn.UNIQUE(D3:D102)</f>
        <v>Sales</v>
      </c>
      <c r="K31" s="1">
        <f>SUMIFS($H$3:$H$102,$D$3:$D$102,$J31,$E$3:$E$102,K$30)</f>
        <v>124250</v>
      </c>
      <c r="L31" s="1">
        <f t="shared" ref="L31:N38" si="3">SUMIFS($H$3:$H$102,$D$3:$D$102,$J31,$E$3:$E$102,L$30)</f>
        <v>55825</v>
      </c>
      <c r="M31" s="1">
        <f t="shared" si="3"/>
        <v>77000</v>
      </c>
      <c r="N31" s="1">
        <f t="shared" si="3"/>
        <v>47250</v>
      </c>
    </row>
    <row r="32" spans="1:14" x14ac:dyDescent="0.35">
      <c r="A32" s="49">
        <v>30</v>
      </c>
      <c r="B32" s="2" t="s">
        <v>164</v>
      </c>
      <c r="C32" s="2" t="s">
        <v>163</v>
      </c>
      <c r="D32" s="2" t="s">
        <v>91</v>
      </c>
      <c r="E32" s="2" t="s">
        <v>32</v>
      </c>
      <c r="F32" s="2" t="s">
        <v>162</v>
      </c>
      <c r="G32" s="53">
        <v>32435</v>
      </c>
      <c r="H32" s="56">
        <v>14175</v>
      </c>
      <c r="J32" s="1" t="str">
        <v>Admin</v>
      </c>
      <c r="K32" s="1">
        <f t="shared" ref="K32:K38" si="4">SUMIFS($H$3:$H$102,$D$3:$D$102,$J32,$E$3:$E$102,K$30)</f>
        <v>65625</v>
      </c>
      <c r="L32" s="1">
        <f t="shared" si="3"/>
        <v>26250</v>
      </c>
      <c r="M32" s="1">
        <f t="shared" si="3"/>
        <v>41125</v>
      </c>
      <c r="N32" s="1">
        <f t="shared" si="3"/>
        <v>15750</v>
      </c>
    </row>
    <row r="33" spans="1:14" x14ac:dyDescent="0.35">
      <c r="A33" s="49">
        <v>31</v>
      </c>
      <c r="B33" s="2" t="s">
        <v>161</v>
      </c>
      <c r="C33" s="2" t="s">
        <v>84</v>
      </c>
      <c r="D33" s="2" t="s">
        <v>15</v>
      </c>
      <c r="E33" s="2" t="s">
        <v>10</v>
      </c>
      <c r="F33" s="2" t="s">
        <v>52</v>
      </c>
      <c r="G33" s="53">
        <v>30225</v>
      </c>
      <c r="H33" s="56">
        <v>15750</v>
      </c>
      <c r="J33" s="1" t="str">
        <v>Mktg</v>
      </c>
      <c r="K33" s="1">
        <f t="shared" si="4"/>
        <v>81200</v>
      </c>
      <c r="L33" s="1">
        <f t="shared" si="3"/>
        <v>63350</v>
      </c>
      <c r="M33" s="1">
        <f t="shared" si="3"/>
        <v>54950</v>
      </c>
      <c r="N33" s="1">
        <f t="shared" si="3"/>
        <v>40950</v>
      </c>
    </row>
    <row r="34" spans="1:14" x14ac:dyDescent="0.35">
      <c r="A34" s="49">
        <v>32</v>
      </c>
      <c r="B34" s="2" t="s">
        <v>160</v>
      </c>
      <c r="C34" s="2" t="s">
        <v>92</v>
      </c>
      <c r="D34" s="2" t="s">
        <v>11</v>
      </c>
      <c r="E34" s="2" t="s">
        <v>1</v>
      </c>
      <c r="F34" s="2" t="s">
        <v>145</v>
      </c>
      <c r="G34" s="53">
        <v>30225</v>
      </c>
      <c r="H34" s="56">
        <v>15750</v>
      </c>
      <c r="J34" s="1" t="str">
        <v>R&amp;D</v>
      </c>
      <c r="K34" s="1">
        <f t="shared" si="4"/>
        <v>137725</v>
      </c>
      <c r="L34" s="1">
        <f t="shared" si="3"/>
        <v>42700</v>
      </c>
      <c r="M34" s="1">
        <f t="shared" si="3"/>
        <v>37800</v>
      </c>
      <c r="N34" s="1">
        <f t="shared" si="3"/>
        <v>41825</v>
      </c>
    </row>
    <row r="35" spans="1:14" x14ac:dyDescent="0.35">
      <c r="A35" s="49">
        <v>33</v>
      </c>
      <c r="B35" s="2" t="s">
        <v>159</v>
      </c>
      <c r="C35" s="2" t="s">
        <v>158</v>
      </c>
      <c r="D35" s="2" t="s">
        <v>11</v>
      </c>
      <c r="E35" s="2" t="s">
        <v>10</v>
      </c>
      <c r="F35" s="2" t="s">
        <v>157</v>
      </c>
      <c r="G35" s="53">
        <v>35618</v>
      </c>
      <c r="H35" s="56">
        <v>7000</v>
      </c>
      <c r="J35" s="1" t="str">
        <v>Personnel</v>
      </c>
      <c r="K35" s="1">
        <f t="shared" si="4"/>
        <v>81375</v>
      </c>
      <c r="L35" s="1">
        <f t="shared" si="3"/>
        <v>17500</v>
      </c>
      <c r="M35" s="1">
        <f t="shared" si="3"/>
        <v>28000</v>
      </c>
      <c r="N35" s="1">
        <f t="shared" si="3"/>
        <v>57050</v>
      </c>
    </row>
    <row r="36" spans="1:14" x14ac:dyDescent="0.35">
      <c r="A36" s="49">
        <v>34</v>
      </c>
      <c r="B36" s="2" t="s">
        <v>156</v>
      </c>
      <c r="C36" s="2" t="s">
        <v>23</v>
      </c>
      <c r="D36" s="2" t="s">
        <v>11</v>
      </c>
      <c r="E36" s="2" t="s">
        <v>10</v>
      </c>
      <c r="F36" s="2" t="s">
        <v>96</v>
      </c>
      <c r="G36" s="53">
        <v>33510</v>
      </c>
      <c r="H36" s="56">
        <v>8750</v>
      </c>
      <c r="J36" s="1" t="str">
        <v>Finance</v>
      </c>
      <c r="K36" s="1">
        <f t="shared" si="4"/>
        <v>49000</v>
      </c>
      <c r="L36" s="1">
        <f t="shared" si="3"/>
        <v>32375</v>
      </c>
      <c r="M36" s="1">
        <f t="shared" si="3"/>
        <v>19250</v>
      </c>
      <c r="N36" s="1">
        <f t="shared" si="3"/>
        <v>25375</v>
      </c>
    </row>
    <row r="37" spans="1:14" x14ac:dyDescent="0.35">
      <c r="A37" s="49">
        <v>35</v>
      </c>
      <c r="B37" s="2" t="s">
        <v>155</v>
      </c>
      <c r="C37" s="2" t="s">
        <v>92</v>
      </c>
      <c r="D37" s="2" t="s">
        <v>22</v>
      </c>
      <c r="E37" s="2" t="s">
        <v>1</v>
      </c>
      <c r="F37" s="2" t="s">
        <v>145</v>
      </c>
      <c r="G37" s="53">
        <v>33729</v>
      </c>
      <c r="H37" s="56">
        <v>9275</v>
      </c>
      <c r="J37" s="1" t="str">
        <v>Director</v>
      </c>
      <c r="K37" s="1">
        <f t="shared" si="4"/>
        <v>0</v>
      </c>
      <c r="L37" s="1">
        <f t="shared" si="3"/>
        <v>49000</v>
      </c>
      <c r="M37" s="1">
        <f t="shared" si="3"/>
        <v>0</v>
      </c>
      <c r="N37" s="1">
        <f t="shared" si="3"/>
        <v>0</v>
      </c>
    </row>
    <row r="38" spans="1:14" x14ac:dyDescent="0.35">
      <c r="A38" s="49">
        <v>36</v>
      </c>
      <c r="B38" s="2" t="s">
        <v>142</v>
      </c>
      <c r="C38" s="2" t="s">
        <v>154</v>
      </c>
      <c r="D38" s="2" t="s">
        <v>91</v>
      </c>
      <c r="E38" s="2" t="s">
        <v>6</v>
      </c>
      <c r="F38" s="2" t="s">
        <v>25</v>
      </c>
      <c r="G38" s="53">
        <v>34580</v>
      </c>
      <c r="H38" s="56">
        <v>11725</v>
      </c>
      <c r="J38" s="1" t="str">
        <v>CCD</v>
      </c>
      <c r="K38" s="1">
        <f t="shared" si="4"/>
        <v>94325</v>
      </c>
      <c r="L38" s="1">
        <f t="shared" si="3"/>
        <v>49000</v>
      </c>
      <c r="M38" s="1">
        <f t="shared" si="3"/>
        <v>49000</v>
      </c>
      <c r="N38" s="1">
        <f t="shared" si="3"/>
        <v>49000</v>
      </c>
    </row>
    <row r="39" spans="1:14" x14ac:dyDescent="0.35">
      <c r="A39" s="49">
        <v>37</v>
      </c>
      <c r="B39" s="2" t="s">
        <v>153</v>
      </c>
      <c r="C39" s="2" t="s">
        <v>152</v>
      </c>
      <c r="D39" s="2" t="s">
        <v>2</v>
      </c>
      <c r="E39" s="2" t="s">
        <v>1</v>
      </c>
      <c r="F39" s="2" t="s">
        <v>83</v>
      </c>
      <c r="G39" s="53">
        <v>30225</v>
      </c>
      <c r="H39" s="56">
        <v>24500</v>
      </c>
    </row>
    <row r="40" spans="1:14" x14ac:dyDescent="0.35">
      <c r="A40" s="49">
        <v>38</v>
      </c>
      <c r="B40" s="2" t="s">
        <v>151</v>
      </c>
      <c r="C40" s="2" t="s">
        <v>150</v>
      </c>
      <c r="D40" s="2" t="s">
        <v>2</v>
      </c>
      <c r="E40" s="2" t="s">
        <v>10</v>
      </c>
      <c r="F40" s="2" t="s">
        <v>41</v>
      </c>
      <c r="G40" s="53">
        <v>30225</v>
      </c>
      <c r="H40" s="56">
        <v>24500</v>
      </c>
    </row>
    <row r="41" spans="1:14" x14ac:dyDescent="0.35">
      <c r="A41" s="49">
        <v>39</v>
      </c>
      <c r="B41" s="2" t="s">
        <v>149</v>
      </c>
      <c r="C41" s="2" t="s">
        <v>148</v>
      </c>
      <c r="D41" s="2" t="s">
        <v>2</v>
      </c>
      <c r="E41" s="2" t="s">
        <v>10</v>
      </c>
      <c r="F41" s="2" t="s">
        <v>90</v>
      </c>
      <c r="G41" s="53">
        <v>30225</v>
      </c>
      <c r="H41" s="56">
        <v>24500</v>
      </c>
    </row>
    <row r="42" spans="1:14" x14ac:dyDescent="0.35">
      <c r="A42" s="49">
        <v>40</v>
      </c>
      <c r="B42" s="2" t="s">
        <v>147</v>
      </c>
      <c r="C42" s="2" t="s">
        <v>146</v>
      </c>
      <c r="D42" s="2" t="s">
        <v>28</v>
      </c>
      <c r="E42" s="2" t="s">
        <v>1</v>
      </c>
      <c r="F42" s="2" t="s">
        <v>145</v>
      </c>
      <c r="G42" s="53">
        <v>33510</v>
      </c>
      <c r="H42" s="56">
        <v>10500</v>
      </c>
    </row>
    <row r="43" spans="1:14" x14ac:dyDescent="0.35">
      <c r="A43" s="49">
        <v>41</v>
      </c>
      <c r="B43" s="2" t="s">
        <v>144</v>
      </c>
      <c r="C43" s="2" t="s">
        <v>143</v>
      </c>
      <c r="D43" s="2" t="s">
        <v>75</v>
      </c>
      <c r="E43" s="2" t="s">
        <v>32</v>
      </c>
      <c r="F43" s="2" t="s">
        <v>78</v>
      </c>
      <c r="G43" s="53">
        <v>35595</v>
      </c>
      <c r="H43" s="56">
        <v>7875</v>
      </c>
    </row>
    <row r="44" spans="1:14" x14ac:dyDescent="0.35">
      <c r="A44" s="49">
        <v>42</v>
      </c>
      <c r="B44" s="2" t="s">
        <v>142</v>
      </c>
      <c r="C44" s="2" t="s">
        <v>141</v>
      </c>
      <c r="D44" s="2" t="s">
        <v>15</v>
      </c>
      <c r="E44" s="2" t="s">
        <v>32</v>
      </c>
      <c r="F44" s="2" t="s">
        <v>35</v>
      </c>
      <c r="G44" s="53">
        <v>33510</v>
      </c>
      <c r="H44" s="56">
        <v>13300</v>
      </c>
    </row>
    <row r="45" spans="1:14" x14ac:dyDescent="0.35">
      <c r="A45" s="49">
        <v>43</v>
      </c>
      <c r="B45" s="2" t="s">
        <v>140</v>
      </c>
      <c r="C45" s="2" t="s">
        <v>114</v>
      </c>
      <c r="D45" s="2" t="s">
        <v>91</v>
      </c>
      <c r="E45" s="2" t="s">
        <v>6</v>
      </c>
      <c r="F45" s="2" t="s">
        <v>5</v>
      </c>
      <c r="G45" s="53">
        <v>32435</v>
      </c>
      <c r="H45" s="56">
        <v>15750</v>
      </c>
    </row>
    <row r="46" spans="1:14" x14ac:dyDescent="0.35">
      <c r="A46" s="49">
        <v>44</v>
      </c>
      <c r="B46" s="2" t="s">
        <v>139</v>
      </c>
      <c r="C46" s="2" t="s">
        <v>73</v>
      </c>
      <c r="D46" s="2" t="s">
        <v>91</v>
      </c>
      <c r="E46" s="2" t="s">
        <v>32</v>
      </c>
      <c r="F46" s="2" t="s">
        <v>58</v>
      </c>
      <c r="G46" s="53">
        <v>33194</v>
      </c>
      <c r="H46" s="56">
        <v>13825</v>
      </c>
    </row>
    <row r="47" spans="1:14" x14ac:dyDescent="0.35">
      <c r="A47" s="49">
        <v>45</v>
      </c>
      <c r="B47" s="2" t="s">
        <v>138</v>
      </c>
      <c r="C47" s="2" t="s">
        <v>39</v>
      </c>
      <c r="D47" s="2" t="s">
        <v>15</v>
      </c>
      <c r="E47" s="2" t="s">
        <v>10</v>
      </c>
      <c r="F47" s="2" t="s">
        <v>64</v>
      </c>
      <c r="G47" s="53">
        <v>35618</v>
      </c>
      <c r="H47" s="56">
        <v>11375</v>
      </c>
    </row>
    <row r="48" spans="1:14" x14ac:dyDescent="0.35">
      <c r="A48" s="49">
        <v>46</v>
      </c>
      <c r="B48" s="2" t="s">
        <v>137</v>
      </c>
      <c r="C48" s="2" t="s">
        <v>130</v>
      </c>
      <c r="D48" s="2" t="s">
        <v>28</v>
      </c>
      <c r="E48" s="2" t="s">
        <v>10</v>
      </c>
      <c r="F48" s="2" t="s">
        <v>96</v>
      </c>
      <c r="G48" s="53">
        <v>33510</v>
      </c>
      <c r="H48" s="56">
        <v>15750</v>
      </c>
    </row>
    <row r="49" spans="1:8" x14ac:dyDescent="0.35">
      <c r="A49" s="49">
        <v>47</v>
      </c>
      <c r="B49" s="2" t="s">
        <v>136</v>
      </c>
      <c r="C49" s="2" t="s">
        <v>92</v>
      </c>
      <c r="D49" s="2" t="s">
        <v>75</v>
      </c>
      <c r="E49" s="2" t="s">
        <v>10</v>
      </c>
      <c r="F49" s="2" t="s">
        <v>104</v>
      </c>
      <c r="G49" s="53">
        <v>32180</v>
      </c>
      <c r="H49" s="56">
        <v>15750</v>
      </c>
    </row>
    <row r="50" spans="1:8" x14ac:dyDescent="0.35">
      <c r="A50" s="49">
        <v>48</v>
      </c>
      <c r="B50" s="2" t="s">
        <v>135</v>
      </c>
      <c r="C50" s="2" t="s">
        <v>92</v>
      </c>
      <c r="D50" s="2" t="s">
        <v>11</v>
      </c>
      <c r="E50" s="2" t="s">
        <v>6</v>
      </c>
      <c r="F50" s="2" t="s">
        <v>129</v>
      </c>
      <c r="G50" s="53">
        <v>32435</v>
      </c>
      <c r="H50" s="56">
        <v>15750</v>
      </c>
    </row>
    <row r="51" spans="1:8" x14ac:dyDescent="0.35">
      <c r="A51" s="49">
        <v>49</v>
      </c>
      <c r="B51" s="2" t="s">
        <v>134</v>
      </c>
      <c r="C51" s="2" t="s">
        <v>133</v>
      </c>
      <c r="D51" s="2" t="s">
        <v>11</v>
      </c>
      <c r="E51" s="2" t="s">
        <v>1</v>
      </c>
      <c r="F51" s="2" t="s">
        <v>132</v>
      </c>
      <c r="G51" s="53">
        <v>32435</v>
      </c>
      <c r="H51" s="56">
        <v>15750</v>
      </c>
    </row>
    <row r="52" spans="1:8" x14ac:dyDescent="0.35">
      <c r="A52" s="49">
        <v>50</v>
      </c>
      <c r="B52" s="2" t="s">
        <v>131</v>
      </c>
      <c r="C52" s="2" t="s">
        <v>130</v>
      </c>
      <c r="D52" s="2" t="s">
        <v>91</v>
      </c>
      <c r="E52" s="2" t="s">
        <v>6</v>
      </c>
      <c r="F52" s="2" t="s">
        <v>129</v>
      </c>
      <c r="G52" s="53">
        <v>32435</v>
      </c>
      <c r="H52" s="56">
        <v>15750</v>
      </c>
    </row>
    <row r="53" spans="1:8" x14ac:dyDescent="0.35">
      <c r="A53" s="49">
        <v>51</v>
      </c>
      <c r="B53" s="2" t="s">
        <v>128</v>
      </c>
      <c r="C53" s="2" t="s">
        <v>127</v>
      </c>
      <c r="D53" s="2" t="s">
        <v>28</v>
      </c>
      <c r="E53" s="2" t="s">
        <v>10</v>
      </c>
      <c r="F53" s="2" t="s">
        <v>49</v>
      </c>
      <c r="G53" s="53">
        <v>32436</v>
      </c>
      <c r="H53" s="56">
        <v>15750</v>
      </c>
    </row>
    <row r="54" spans="1:8" x14ac:dyDescent="0.35">
      <c r="A54" s="49">
        <v>52</v>
      </c>
      <c r="B54" s="2" t="s">
        <v>126</v>
      </c>
      <c r="C54" s="2" t="s">
        <v>125</v>
      </c>
      <c r="D54" s="2" t="s">
        <v>11</v>
      </c>
      <c r="E54" s="2" t="s">
        <v>10</v>
      </c>
      <c r="F54" s="2" t="s">
        <v>96</v>
      </c>
      <c r="G54" s="53">
        <v>32437</v>
      </c>
      <c r="H54" s="56">
        <v>19250</v>
      </c>
    </row>
    <row r="55" spans="1:8" x14ac:dyDescent="0.35">
      <c r="A55" s="49">
        <v>53</v>
      </c>
      <c r="B55" s="2" t="s">
        <v>124</v>
      </c>
      <c r="C55" s="2" t="s">
        <v>123</v>
      </c>
      <c r="D55" s="2" t="s">
        <v>11</v>
      </c>
      <c r="E55" s="2" t="s">
        <v>6</v>
      </c>
      <c r="F55" s="2" t="s">
        <v>18</v>
      </c>
      <c r="G55" s="53">
        <v>35034</v>
      </c>
      <c r="H55" s="56">
        <v>15750</v>
      </c>
    </row>
    <row r="56" spans="1:8" x14ac:dyDescent="0.35">
      <c r="A56" s="49">
        <v>54</v>
      </c>
      <c r="B56" s="2" t="s">
        <v>122</v>
      </c>
      <c r="C56" s="2" t="s">
        <v>121</v>
      </c>
      <c r="D56" s="2" t="s">
        <v>11</v>
      </c>
      <c r="E56" s="2" t="s">
        <v>32</v>
      </c>
      <c r="F56" s="2" t="s">
        <v>31</v>
      </c>
      <c r="G56" s="53">
        <v>34761</v>
      </c>
      <c r="H56" s="56">
        <v>15750</v>
      </c>
    </row>
    <row r="57" spans="1:8" x14ac:dyDescent="0.35">
      <c r="A57" s="49">
        <v>55</v>
      </c>
      <c r="B57" s="2" t="s">
        <v>120</v>
      </c>
      <c r="C57" s="2" t="s">
        <v>119</v>
      </c>
      <c r="D57" s="2" t="s">
        <v>11</v>
      </c>
      <c r="E57" s="2" t="s">
        <v>32</v>
      </c>
      <c r="F57" s="2" t="s">
        <v>118</v>
      </c>
      <c r="G57" s="53">
        <v>31717</v>
      </c>
      <c r="H57" s="56">
        <v>15750</v>
      </c>
    </row>
    <row r="58" spans="1:8" x14ac:dyDescent="0.35">
      <c r="A58" s="49">
        <v>56</v>
      </c>
      <c r="B58" s="2" t="s">
        <v>117</v>
      </c>
      <c r="C58" s="2" t="s">
        <v>116</v>
      </c>
      <c r="D58" s="2" t="s">
        <v>28</v>
      </c>
      <c r="E58" s="2" t="s">
        <v>6</v>
      </c>
      <c r="F58" s="2" t="s">
        <v>18</v>
      </c>
      <c r="G58" s="53">
        <v>33878</v>
      </c>
      <c r="H58" s="56">
        <v>14875</v>
      </c>
    </row>
    <row r="59" spans="1:8" x14ac:dyDescent="0.35">
      <c r="A59" s="49">
        <v>57</v>
      </c>
      <c r="B59" s="2" t="s">
        <v>115</v>
      </c>
      <c r="C59" s="2" t="s">
        <v>114</v>
      </c>
      <c r="D59" s="2" t="s">
        <v>28</v>
      </c>
      <c r="E59" s="2" t="s">
        <v>1</v>
      </c>
      <c r="F59" s="2" t="s">
        <v>61</v>
      </c>
      <c r="G59" s="53">
        <v>34098</v>
      </c>
      <c r="H59" s="56">
        <v>14875</v>
      </c>
    </row>
    <row r="60" spans="1:8" x14ac:dyDescent="0.35">
      <c r="A60" s="49">
        <v>58</v>
      </c>
      <c r="B60" s="2" t="s">
        <v>113</v>
      </c>
      <c r="C60" s="2" t="s">
        <v>112</v>
      </c>
      <c r="D60" s="2" t="s">
        <v>22</v>
      </c>
      <c r="E60" s="2" t="s">
        <v>10</v>
      </c>
      <c r="F60" s="2" t="s">
        <v>52</v>
      </c>
      <c r="G60" s="53">
        <v>33182</v>
      </c>
      <c r="H60" s="56">
        <v>17500</v>
      </c>
    </row>
    <row r="61" spans="1:8" x14ac:dyDescent="0.35">
      <c r="A61" s="49">
        <v>59</v>
      </c>
      <c r="B61" s="2" t="s">
        <v>111</v>
      </c>
      <c r="C61" s="2" t="s">
        <v>110</v>
      </c>
      <c r="D61" s="2" t="s">
        <v>75</v>
      </c>
      <c r="E61" s="2" t="s">
        <v>1</v>
      </c>
      <c r="F61" s="2" t="s">
        <v>21</v>
      </c>
      <c r="G61" s="53">
        <v>31791</v>
      </c>
      <c r="H61" s="56">
        <v>19250</v>
      </c>
    </row>
    <row r="62" spans="1:8" x14ac:dyDescent="0.35">
      <c r="A62" s="49">
        <v>60</v>
      </c>
      <c r="B62" s="2" t="s">
        <v>109</v>
      </c>
      <c r="C62" s="2" t="s">
        <v>108</v>
      </c>
      <c r="D62" s="2" t="s">
        <v>22</v>
      </c>
      <c r="E62" s="2" t="s">
        <v>1</v>
      </c>
      <c r="F62" s="2" t="s">
        <v>14</v>
      </c>
      <c r="G62" s="53">
        <v>32105</v>
      </c>
      <c r="H62" s="56">
        <v>19250</v>
      </c>
    </row>
    <row r="63" spans="1:8" x14ac:dyDescent="0.35">
      <c r="A63" s="49">
        <v>61</v>
      </c>
      <c r="B63" s="2" t="s">
        <v>107</v>
      </c>
      <c r="C63" s="2" t="s">
        <v>106</v>
      </c>
      <c r="D63" s="2" t="s">
        <v>75</v>
      </c>
      <c r="E63" s="2" t="s">
        <v>10</v>
      </c>
      <c r="F63" s="2" t="s">
        <v>52</v>
      </c>
      <c r="G63" s="53">
        <v>32106</v>
      </c>
      <c r="H63" s="56">
        <v>19250</v>
      </c>
    </row>
    <row r="64" spans="1:8" x14ac:dyDescent="0.35">
      <c r="A64" s="49">
        <v>62</v>
      </c>
      <c r="B64" s="2" t="s">
        <v>105</v>
      </c>
      <c r="C64" s="2" t="s">
        <v>29</v>
      </c>
      <c r="D64" s="2" t="s">
        <v>28</v>
      </c>
      <c r="E64" s="2" t="s">
        <v>10</v>
      </c>
      <c r="F64" s="2" t="s">
        <v>104</v>
      </c>
      <c r="G64" s="53">
        <v>32107</v>
      </c>
      <c r="H64" s="56">
        <v>19250</v>
      </c>
    </row>
    <row r="65" spans="1:8" x14ac:dyDescent="0.35">
      <c r="A65" s="49">
        <v>63</v>
      </c>
      <c r="B65" s="2" t="s">
        <v>103</v>
      </c>
      <c r="C65" s="2" t="s">
        <v>102</v>
      </c>
      <c r="D65" s="2" t="s">
        <v>15</v>
      </c>
      <c r="E65" s="2" t="s">
        <v>10</v>
      </c>
      <c r="F65" s="2" t="s">
        <v>49</v>
      </c>
      <c r="G65" s="53">
        <v>32440</v>
      </c>
      <c r="H65" s="56">
        <v>17500</v>
      </c>
    </row>
    <row r="66" spans="1:8" x14ac:dyDescent="0.35">
      <c r="A66" s="49">
        <v>64</v>
      </c>
      <c r="B66" s="2" t="s">
        <v>101</v>
      </c>
      <c r="C66" s="2" t="s">
        <v>100</v>
      </c>
      <c r="D66" s="2" t="s">
        <v>91</v>
      </c>
      <c r="E66" s="2" t="s">
        <v>1</v>
      </c>
      <c r="F66" s="2" t="s">
        <v>0</v>
      </c>
      <c r="G66" s="53">
        <v>32441</v>
      </c>
      <c r="H66" s="56">
        <v>17500</v>
      </c>
    </row>
    <row r="67" spans="1:8" x14ac:dyDescent="0.35">
      <c r="A67" s="49">
        <v>65</v>
      </c>
      <c r="B67" s="2" t="s">
        <v>99</v>
      </c>
      <c r="C67" s="2" t="s">
        <v>94</v>
      </c>
      <c r="D67" s="2" t="s">
        <v>11</v>
      </c>
      <c r="E67" s="2" t="s">
        <v>32</v>
      </c>
      <c r="F67" s="2" t="s">
        <v>35</v>
      </c>
      <c r="G67" s="53">
        <v>32442</v>
      </c>
      <c r="H67" s="56">
        <v>17500</v>
      </c>
    </row>
    <row r="68" spans="1:8" x14ac:dyDescent="0.35">
      <c r="A68" s="49">
        <v>66</v>
      </c>
      <c r="B68" s="2" t="s">
        <v>98</v>
      </c>
      <c r="C68" s="2" t="s">
        <v>7</v>
      </c>
      <c r="D68" s="2" t="s">
        <v>91</v>
      </c>
      <c r="E68" s="2" t="s">
        <v>10</v>
      </c>
      <c r="F68" s="2" t="s">
        <v>52</v>
      </c>
      <c r="G68" s="53">
        <v>32443</v>
      </c>
      <c r="H68" s="56">
        <v>17500</v>
      </c>
    </row>
    <row r="69" spans="1:8" x14ac:dyDescent="0.35">
      <c r="A69" s="49">
        <v>67</v>
      </c>
      <c r="B69" s="2" t="s">
        <v>97</v>
      </c>
      <c r="C69" s="2" t="s">
        <v>88</v>
      </c>
      <c r="D69" s="2" t="s">
        <v>91</v>
      </c>
      <c r="E69" s="2" t="s">
        <v>10</v>
      </c>
      <c r="F69" s="2" t="s">
        <v>96</v>
      </c>
      <c r="G69" s="53">
        <v>32444</v>
      </c>
      <c r="H69" s="56">
        <v>20125</v>
      </c>
    </row>
    <row r="70" spans="1:8" x14ac:dyDescent="0.35">
      <c r="A70" s="49">
        <v>68</v>
      </c>
      <c r="B70" s="2" t="s">
        <v>95</v>
      </c>
      <c r="C70" s="2" t="s">
        <v>94</v>
      </c>
      <c r="D70" s="2" t="s">
        <v>28</v>
      </c>
      <c r="E70" s="2" t="s">
        <v>10</v>
      </c>
      <c r="F70" s="2" t="s">
        <v>90</v>
      </c>
      <c r="G70" s="53">
        <v>35034</v>
      </c>
      <c r="H70" s="56">
        <v>14000</v>
      </c>
    </row>
    <row r="71" spans="1:8" x14ac:dyDescent="0.35">
      <c r="A71" s="49">
        <v>69</v>
      </c>
      <c r="B71" s="2" t="s">
        <v>93</v>
      </c>
      <c r="C71" s="2" t="s">
        <v>92</v>
      </c>
      <c r="D71" s="2" t="s">
        <v>91</v>
      </c>
      <c r="E71" s="2" t="s">
        <v>10</v>
      </c>
      <c r="F71" s="2" t="s">
        <v>90</v>
      </c>
      <c r="G71" s="53">
        <v>34761</v>
      </c>
      <c r="H71" s="56">
        <v>14000</v>
      </c>
    </row>
    <row r="72" spans="1:8" x14ac:dyDescent="0.35">
      <c r="A72" s="49">
        <v>70</v>
      </c>
      <c r="B72" s="2" t="s">
        <v>89</v>
      </c>
      <c r="C72" s="2" t="s">
        <v>88</v>
      </c>
      <c r="D72" s="2" t="s">
        <v>22</v>
      </c>
      <c r="E72" s="2" t="s">
        <v>32</v>
      </c>
      <c r="F72" s="2" t="s">
        <v>35</v>
      </c>
      <c r="G72" s="53">
        <v>34762</v>
      </c>
      <c r="H72" s="56">
        <v>14000</v>
      </c>
    </row>
    <row r="73" spans="1:8" x14ac:dyDescent="0.35">
      <c r="A73" s="49">
        <v>71</v>
      </c>
      <c r="B73" s="2" t="s">
        <v>87</v>
      </c>
      <c r="C73" s="2" t="s">
        <v>86</v>
      </c>
      <c r="D73" s="2" t="s">
        <v>15</v>
      </c>
      <c r="E73" s="2" t="s">
        <v>6</v>
      </c>
      <c r="F73" s="2" t="s">
        <v>72</v>
      </c>
      <c r="G73" s="53">
        <v>34763</v>
      </c>
      <c r="H73" s="56">
        <v>14000</v>
      </c>
    </row>
    <row r="74" spans="1:8" x14ac:dyDescent="0.35">
      <c r="A74" s="49">
        <v>72</v>
      </c>
      <c r="B74" s="2" t="s">
        <v>85</v>
      </c>
      <c r="C74" s="2" t="s">
        <v>84</v>
      </c>
      <c r="D74" s="2" t="s">
        <v>15</v>
      </c>
      <c r="E74" s="2" t="s">
        <v>1</v>
      </c>
      <c r="F74" s="2" t="s">
        <v>83</v>
      </c>
      <c r="G74" s="53">
        <v>32438</v>
      </c>
      <c r="H74" s="56">
        <v>17500</v>
      </c>
    </row>
    <row r="75" spans="1:8" x14ac:dyDescent="0.35">
      <c r="A75" s="49">
        <v>73</v>
      </c>
      <c r="B75" s="2" t="s">
        <v>82</v>
      </c>
      <c r="C75" s="2" t="s">
        <v>81</v>
      </c>
      <c r="D75" s="2" t="s">
        <v>11</v>
      </c>
      <c r="E75" s="2" t="s">
        <v>10</v>
      </c>
      <c r="F75" s="2" t="s">
        <v>38</v>
      </c>
      <c r="G75" s="53">
        <v>32439</v>
      </c>
      <c r="H75" s="56">
        <v>17500</v>
      </c>
    </row>
    <row r="76" spans="1:8" x14ac:dyDescent="0.35">
      <c r="A76" s="49">
        <v>74</v>
      </c>
      <c r="B76" s="2" t="s">
        <v>80</v>
      </c>
      <c r="C76" s="2" t="s">
        <v>79</v>
      </c>
      <c r="D76" s="2" t="s">
        <v>28</v>
      </c>
      <c r="E76" s="2" t="s">
        <v>32</v>
      </c>
      <c r="F76" s="2" t="s">
        <v>78</v>
      </c>
      <c r="G76" s="53">
        <v>32440</v>
      </c>
      <c r="H76" s="56">
        <v>17500</v>
      </c>
    </row>
    <row r="77" spans="1:8" x14ac:dyDescent="0.35">
      <c r="A77" s="49">
        <v>75</v>
      </c>
      <c r="B77" s="2" t="s">
        <v>77</v>
      </c>
      <c r="C77" s="2" t="s">
        <v>76</v>
      </c>
      <c r="D77" s="2" t="s">
        <v>75</v>
      </c>
      <c r="E77" s="2" t="s">
        <v>32</v>
      </c>
      <c r="F77" s="2" t="s">
        <v>35</v>
      </c>
      <c r="G77" s="53">
        <v>32441</v>
      </c>
      <c r="H77" s="56">
        <v>17500</v>
      </c>
    </row>
    <row r="78" spans="1:8" x14ac:dyDescent="0.35">
      <c r="A78" s="49">
        <v>76</v>
      </c>
      <c r="B78" s="2" t="s">
        <v>74</v>
      </c>
      <c r="C78" s="2" t="s">
        <v>73</v>
      </c>
      <c r="D78" s="2" t="s">
        <v>11</v>
      </c>
      <c r="E78" s="2" t="s">
        <v>6</v>
      </c>
      <c r="F78" s="2" t="s">
        <v>72</v>
      </c>
      <c r="G78" s="53">
        <v>32442</v>
      </c>
      <c r="H78" s="56">
        <v>17500</v>
      </c>
    </row>
    <row r="79" spans="1:8" x14ac:dyDescent="0.35">
      <c r="A79" s="49">
        <v>77</v>
      </c>
      <c r="B79" s="2" t="s">
        <v>71</v>
      </c>
      <c r="C79" s="2" t="s">
        <v>7</v>
      </c>
      <c r="D79" s="2" t="s">
        <v>15</v>
      </c>
      <c r="E79" s="2" t="s">
        <v>10</v>
      </c>
      <c r="F79" s="2" t="s">
        <v>9</v>
      </c>
      <c r="G79" s="53">
        <v>32443</v>
      </c>
      <c r="H79" s="56">
        <v>17500</v>
      </c>
    </row>
    <row r="80" spans="1:8" x14ac:dyDescent="0.35">
      <c r="A80" s="49">
        <v>78</v>
      </c>
      <c r="B80" s="2" t="s">
        <v>70</v>
      </c>
      <c r="C80" s="2" t="s">
        <v>69</v>
      </c>
      <c r="D80" s="2" t="s">
        <v>28</v>
      </c>
      <c r="E80" s="2" t="s">
        <v>6</v>
      </c>
      <c r="F80" s="2" t="s">
        <v>5</v>
      </c>
      <c r="G80" s="53">
        <v>32444</v>
      </c>
      <c r="H80" s="56">
        <v>17500</v>
      </c>
    </row>
    <row r="81" spans="1:8" x14ac:dyDescent="0.35">
      <c r="A81" s="49">
        <v>79</v>
      </c>
      <c r="B81" s="2" t="s">
        <v>68</v>
      </c>
      <c r="C81" s="2" t="s">
        <v>67</v>
      </c>
      <c r="D81" s="2" t="s">
        <v>22</v>
      </c>
      <c r="E81" s="2" t="s">
        <v>10</v>
      </c>
      <c r="F81" s="2" t="s">
        <v>9</v>
      </c>
      <c r="G81" s="53">
        <v>32445</v>
      </c>
      <c r="H81" s="56">
        <v>17500</v>
      </c>
    </row>
    <row r="82" spans="1:8" x14ac:dyDescent="0.35">
      <c r="A82" s="49">
        <v>80</v>
      </c>
      <c r="B82" s="2" t="s">
        <v>66</v>
      </c>
      <c r="C82" s="2" t="s">
        <v>65</v>
      </c>
      <c r="D82" s="2" t="s">
        <v>22</v>
      </c>
      <c r="E82" s="2" t="s">
        <v>10</v>
      </c>
      <c r="F82" s="2" t="s">
        <v>64</v>
      </c>
      <c r="G82" s="53">
        <v>32446</v>
      </c>
      <c r="H82" s="56">
        <v>17500</v>
      </c>
    </row>
    <row r="83" spans="1:8" x14ac:dyDescent="0.35">
      <c r="A83" s="49">
        <v>81</v>
      </c>
      <c r="B83" s="2" t="s">
        <v>63</v>
      </c>
      <c r="C83" s="2" t="s">
        <v>62</v>
      </c>
      <c r="D83" s="2" t="s">
        <v>11</v>
      </c>
      <c r="E83" s="2" t="s">
        <v>1</v>
      </c>
      <c r="F83" s="2" t="s">
        <v>61</v>
      </c>
      <c r="G83" s="53">
        <v>32447</v>
      </c>
      <c r="H83" s="56">
        <v>17500</v>
      </c>
    </row>
    <row r="84" spans="1:8" x14ac:dyDescent="0.35">
      <c r="A84" s="49">
        <v>82</v>
      </c>
      <c r="B84" s="2" t="s">
        <v>60</v>
      </c>
      <c r="C84" s="2" t="s">
        <v>59</v>
      </c>
      <c r="D84" s="2" t="s">
        <v>15</v>
      </c>
      <c r="E84" s="2" t="s">
        <v>32</v>
      </c>
      <c r="F84" s="2" t="s">
        <v>58</v>
      </c>
      <c r="G84" s="53">
        <v>32448</v>
      </c>
      <c r="H84" s="56">
        <v>17500</v>
      </c>
    </row>
    <row r="85" spans="1:8" x14ac:dyDescent="0.35">
      <c r="A85" s="49">
        <v>83</v>
      </c>
      <c r="B85" s="2" t="s">
        <v>57</v>
      </c>
      <c r="C85" s="2" t="s">
        <v>7</v>
      </c>
      <c r="D85" s="2" t="s">
        <v>11</v>
      </c>
      <c r="E85" s="2" t="s">
        <v>10</v>
      </c>
      <c r="F85" s="2" t="s">
        <v>41</v>
      </c>
      <c r="G85" s="53">
        <v>36221</v>
      </c>
      <c r="H85" s="56">
        <v>7000</v>
      </c>
    </row>
    <row r="86" spans="1:8" x14ac:dyDescent="0.35">
      <c r="A86" s="49">
        <v>84</v>
      </c>
      <c r="B86" s="2" t="s">
        <v>56</v>
      </c>
      <c r="C86" s="2" t="s">
        <v>55</v>
      </c>
      <c r="D86" s="2" t="s">
        <v>15</v>
      </c>
      <c r="E86" s="2" t="s">
        <v>32</v>
      </c>
      <c r="F86" s="2" t="s">
        <v>35</v>
      </c>
      <c r="G86" s="53">
        <v>36222</v>
      </c>
      <c r="H86" s="56">
        <v>7000</v>
      </c>
    </row>
    <row r="87" spans="1:8" x14ac:dyDescent="0.35">
      <c r="A87" s="49">
        <v>85</v>
      </c>
      <c r="B87" s="2" t="s">
        <v>54</v>
      </c>
      <c r="C87" s="2" t="s">
        <v>53</v>
      </c>
      <c r="D87" s="2" t="s">
        <v>15</v>
      </c>
      <c r="E87" s="2" t="s">
        <v>10</v>
      </c>
      <c r="F87" s="2" t="s">
        <v>52</v>
      </c>
      <c r="G87" s="53">
        <v>35809</v>
      </c>
      <c r="H87" s="56">
        <v>7000</v>
      </c>
    </row>
    <row r="88" spans="1:8" x14ac:dyDescent="0.35">
      <c r="A88" s="49">
        <v>86</v>
      </c>
      <c r="B88" s="2" t="s">
        <v>51</v>
      </c>
      <c r="C88" s="2" t="s">
        <v>50</v>
      </c>
      <c r="D88" s="2" t="s">
        <v>11</v>
      </c>
      <c r="E88" s="2" t="s">
        <v>10</v>
      </c>
      <c r="F88" s="2" t="s">
        <v>49</v>
      </c>
      <c r="G88" s="53">
        <v>35810</v>
      </c>
      <c r="H88" s="56">
        <v>17500</v>
      </c>
    </row>
    <row r="89" spans="1:8" x14ac:dyDescent="0.35">
      <c r="A89" s="49">
        <v>87</v>
      </c>
      <c r="B89" s="2" t="s">
        <v>48</v>
      </c>
      <c r="C89" s="2" t="s">
        <v>47</v>
      </c>
      <c r="D89" s="2" t="s">
        <v>22</v>
      </c>
      <c r="E89" s="2" t="s">
        <v>1</v>
      </c>
      <c r="F89" s="2" t="s">
        <v>0</v>
      </c>
      <c r="G89" s="53">
        <v>35811</v>
      </c>
      <c r="H89" s="56">
        <v>17500</v>
      </c>
    </row>
    <row r="90" spans="1:8" x14ac:dyDescent="0.35">
      <c r="A90" s="49">
        <v>88</v>
      </c>
      <c r="B90" s="2" t="s">
        <v>46</v>
      </c>
      <c r="C90" s="2" t="s">
        <v>45</v>
      </c>
      <c r="D90" s="2" t="s">
        <v>22</v>
      </c>
      <c r="E90" s="2" t="s">
        <v>6</v>
      </c>
      <c r="F90" s="2" t="s">
        <v>44</v>
      </c>
      <c r="G90" s="53">
        <v>35794</v>
      </c>
      <c r="H90" s="56">
        <v>7875</v>
      </c>
    </row>
    <row r="91" spans="1:8" x14ac:dyDescent="0.35">
      <c r="A91" s="49">
        <v>89</v>
      </c>
      <c r="B91" s="2" t="s">
        <v>43</v>
      </c>
      <c r="C91" s="2" t="s">
        <v>42</v>
      </c>
      <c r="D91" s="2" t="s">
        <v>28</v>
      </c>
      <c r="E91" s="2" t="s">
        <v>10</v>
      </c>
      <c r="F91" s="2" t="s">
        <v>41</v>
      </c>
      <c r="G91" s="53">
        <v>28907</v>
      </c>
      <c r="H91" s="56">
        <v>22750</v>
      </c>
    </row>
    <row r="92" spans="1:8" x14ac:dyDescent="0.35">
      <c r="A92" s="49">
        <v>90</v>
      </c>
      <c r="B92" s="2" t="s">
        <v>40</v>
      </c>
      <c r="C92" s="2" t="s">
        <v>39</v>
      </c>
      <c r="D92" s="2" t="s">
        <v>15</v>
      </c>
      <c r="E92" s="2" t="s">
        <v>10</v>
      </c>
      <c r="F92" s="2" t="s">
        <v>38</v>
      </c>
      <c r="G92" s="53">
        <v>29226</v>
      </c>
      <c r="H92" s="56">
        <v>22750</v>
      </c>
    </row>
    <row r="93" spans="1:8" x14ac:dyDescent="0.35">
      <c r="A93" s="49">
        <v>91</v>
      </c>
      <c r="B93" s="2" t="s">
        <v>37</v>
      </c>
      <c r="C93" s="2" t="s">
        <v>36</v>
      </c>
      <c r="D93" s="2" t="s">
        <v>28</v>
      </c>
      <c r="E93" s="2" t="s">
        <v>32</v>
      </c>
      <c r="F93" s="2" t="s">
        <v>35</v>
      </c>
      <c r="G93" s="53">
        <v>29172</v>
      </c>
      <c r="H93" s="56">
        <v>22750</v>
      </c>
    </row>
    <row r="94" spans="1:8" x14ac:dyDescent="0.35">
      <c r="A94" s="49">
        <v>92</v>
      </c>
      <c r="B94" s="2" t="s">
        <v>34</v>
      </c>
      <c r="C94" s="2" t="s">
        <v>33</v>
      </c>
      <c r="D94" s="2" t="s">
        <v>22</v>
      </c>
      <c r="E94" s="2" t="s">
        <v>32</v>
      </c>
      <c r="F94" s="2" t="s">
        <v>31</v>
      </c>
      <c r="G94" s="53">
        <v>32603</v>
      </c>
      <c r="H94" s="56">
        <v>17325</v>
      </c>
    </row>
    <row r="95" spans="1:8" x14ac:dyDescent="0.35">
      <c r="A95" s="49">
        <v>93</v>
      </c>
      <c r="B95" s="2" t="s">
        <v>30</v>
      </c>
      <c r="C95" s="2" t="s">
        <v>29</v>
      </c>
      <c r="D95" s="2" t="s">
        <v>28</v>
      </c>
      <c r="E95" s="2" t="s">
        <v>1</v>
      </c>
      <c r="F95" s="2" t="s">
        <v>21</v>
      </c>
      <c r="G95" s="53">
        <v>32604</v>
      </c>
      <c r="H95" s="56">
        <v>17325</v>
      </c>
    </row>
    <row r="96" spans="1:8" x14ac:dyDescent="0.35">
      <c r="A96" s="49">
        <v>94</v>
      </c>
      <c r="B96" s="2" t="s">
        <v>27</v>
      </c>
      <c r="C96" s="2" t="s">
        <v>26</v>
      </c>
      <c r="D96" s="2" t="s">
        <v>22</v>
      </c>
      <c r="E96" s="2" t="s">
        <v>6</v>
      </c>
      <c r="F96" s="2" t="s">
        <v>25</v>
      </c>
      <c r="G96" s="53">
        <v>32605</v>
      </c>
      <c r="H96" s="56">
        <v>17325</v>
      </c>
    </row>
    <row r="97" spans="1:8" x14ac:dyDescent="0.35">
      <c r="A97" s="49">
        <v>95</v>
      </c>
      <c r="B97" s="2" t="s">
        <v>24</v>
      </c>
      <c r="C97" s="2" t="s">
        <v>23</v>
      </c>
      <c r="D97" s="2" t="s">
        <v>22</v>
      </c>
      <c r="E97" s="2" t="s">
        <v>1</v>
      </c>
      <c r="F97" s="2" t="s">
        <v>21</v>
      </c>
      <c r="G97" s="53">
        <v>32606</v>
      </c>
      <c r="H97" s="56">
        <v>17325</v>
      </c>
    </row>
    <row r="98" spans="1:8" x14ac:dyDescent="0.35">
      <c r="A98" s="49">
        <v>96</v>
      </c>
      <c r="B98" s="2" t="s">
        <v>20</v>
      </c>
      <c r="C98" s="2" t="s">
        <v>19</v>
      </c>
      <c r="D98" s="2" t="s">
        <v>15</v>
      </c>
      <c r="E98" s="2" t="s">
        <v>6</v>
      </c>
      <c r="F98" s="2" t="s">
        <v>18</v>
      </c>
      <c r="G98" s="53">
        <v>32607</v>
      </c>
      <c r="H98" s="56">
        <v>17325</v>
      </c>
    </row>
    <row r="99" spans="1:8" x14ac:dyDescent="0.35">
      <c r="A99" s="49">
        <v>97</v>
      </c>
      <c r="B99" s="2" t="s">
        <v>17</v>
      </c>
      <c r="C99" s="2" t="s">
        <v>16</v>
      </c>
      <c r="D99" s="2" t="s">
        <v>15</v>
      </c>
      <c r="E99" s="2" t="s">
        <v>1</v>
      </c>
      <c r="F99" s="2" t="s">
        <v>14</v>
      </c>
      <c r="G99" s="53">
        <v>32608</v>
      </c>
      <c r="H99" s="56">
        <v>17325</v>
      </c>
    </row>
    <row r="100" spans="1:8" x14ac:dyDescent="0.35">
      <c r="A100" s="49">
        <v>98</v>
      </c>
      <c r="B100" s="2" t="s">
        <v>13</v>
      </c>
      <c r="C100" s="2" t="s">
        <v>12</v>
      </c>
      <c r="D100" s="2" t="s">
        <v>11</v>
      </c>
      <c r="E100" s="2" t="s">
        <v>10</v>
      </c>
      <c r="F100" s="2" t="s">
        <v>9</v>
      </c>
      <c r="G100" s="53">
        <v>32609</v>
      </c>
      <c r="H100" s="56">
        <v>17325</v>
      </c>
    </row>
    <row r="101" spans="1:8" x14ac:dyDescent="0.35">
      <c r="A101" s="49">
        <v>99</v>
      </c>
      <c r="B101" s="2" t="s">
        <v>8</v>
      </c>
      <c r="C101" s="2" t="s">
        <v>7</v>
      </c>
      <c r="D101" s="2" t="s">
        <v>2</v>
      </c>
      <c r="E101" s="2" t="s">
        <v>6</v>
      </c>
      <c r="F101" s="2" t="s">
        <v>5</v>
      </c>
      <c r="G101" s="53">
        <v>35794</v>
      </c>
      <c r="H101" s="56">
        <v>10500</v>
      </c>
    </row>
    <row r="102" spans="1:8" x14ac:dyDescent="0.35">
      <c r="A102" s="49">
        <v>100</v>
      </c>
      <c r="B102" s="2" t="s">
        <v>4</v>
      </c>
      <c r="C102" s="2" t="s">
        <v>3</v>
      </c>
      <c r="D102" s="2" t="s">
        <v>2</v>
      </c>
      <c r="E102" s="2" t="s">
        <v>1</v>
      </c>
      <c r="F102" s="2" t="s">
        <v>0</v>
      </c>
      <c r="G102" s="53">
        <v>36193</v>
      </c>
      <c r="H102" s="56">
        <v>7875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7754E-0C55-4C16-8601-2EBE43C36CF3}">
  <sheetPr codeName="Sheet3"/>
  <dimension ref="A1:N33"/>
  <sheetViews>
    <sheetView topLeftCell="A21" zoomScale="95" zoomScaleNormal="95" workbookViewId="0">
      <selection activeCell="B31" sqref="B31"/>
    </sheetView>
  </sheetViews>
  <sheetFormatPr defaultRowHeight="15" x14ac:dyDescent="0.25"/>
  <cols>
    <col min="1" max="1" width="26.7109375" bestFit="1" customWidth="1"/>
    <col min="2" max="2" width="15.140625" customWidth="1"/>
    <col min="3" max="3" width="9.28515625" bestFit="1" customWidth="1"/>
    <col min="4" max="4" width="8.42578125" bestFit="1" customWidth="1"/>
    <col min="5" max="5" width="9.140625" bestFit="1" customWidth="1"/>
    <col min="6" max="6" width="13.7109375" bestFit="1" customWidth="1"/>
    <col min="7" max="7" width="9.140625" bestFit="1" customWidth="1"/>
    <col min="8" max="8" width="10.28515625" bestFit="1" customWidth="1"/>
    <col min="10" max="10" width="9.85546875" bestFit="1" customWidth="1"/>
    <col min="11" max="11" width="15.140625" customWidth="1"/>
  </cols>
  <sheetData>
    <row r="1" spans="1:14" ht="21" x14ac:dyDescent="0.35">
      <c r="A1" s="9" t="s">
        <v>266</v>
      </c>
      <c r="K1" s="17" t="s">
        <v>241</v>
      </c>
      <c r="L1" s="15"/>
      <c r="M1" s="15"/>
    </row>
    <row r="2" spans="1:14" ht="21" x14ac:dyDescent="0.35">
      <c r="A2" s="9"/>
      <c r="K2" t="s">
        <v>242</v>
      </c>
    </row>
    <row r="3" spans="1:14" ht="15.75" x14ac:dyDescent="0.25">
      <c r="A3" s="16" t="s">
        <v>267</v>
      </c>
      <c r="B3" s="15"/>
      <c r="K3" t="s">
        <v>243</v>
      </c>
    </row>
    <row r="4" spans="1:14" x14ac:dyDescent="0.25">
      <c r="A4" s="10" t="s">
        <v>245</v>
      </c>
      <c r="B4" s="10" t="s">
        <v>246</v>
      </c>
      <c r="C4" s="10" t="s">
        <v>235</v>
      </c>
      <c r="D4" s="10" t="s">
        <v>247</v>
      </c>
      <c r="E4" s="10" t="s">
        <v>248</v>
      </c>
      <c r="F4" s="10" t="s">
        <v>249</v>
      </c>
      <c r="G4" s="10" t="s">
        <v>250</v>
      </c>
      <c r="H4" s="10" t="s">
        <v>251</v>
      </c>
      <c r="K4" t="s">
        <v>244</v>
      </c>
    </row>
    <row r="5" spans="1:14" x14ac:dyDescent="0.25">
      <c r="A5" s="11">
        <v>41548</v>
      </c>
      <c r="B5" s="12" t="s">
        <v>252</v>
      </c>
      <c r="C5" s="12" t="s">
        <v>200</v>
      </c>
      <c r="D5" s="12" t="s">
        <v>253</v>
      </c>
      <c r="E5" s="12" t="s">
        <v>254</v>
      </c>
      <c r="F5" s="45">
        <v>16</v>
      </c>
      <c r="G5" s="45">
        <v>38</v>
      </c>
      <c r="H5" s="13">
        <f>F5*G5</f>
        <v>608</v>
      </c>
    </row>
    <row r="6" spans="1:14" x14ac:dyDescent="0.25">
      <c r="A6" s="11">
        <v>40469</v>
      </c>
      <c r="B6" s="12" t="s">
        <v>255</v>
      </c>
      <c r="C6" s="12" t="s">
        <v>200</v>
      </c>
      <c r="D6" s="12" t="s">
        <v>256</v>
      </c>
      <c r="E6" s="12" t="s">
        <v>257</v>
      </c>
      <c r="F6" s="45">
        <v>24</v>
      </c>
      <c r="G6" s="45">
        <v>39</v>
      </c>
      <c r="H6" s="13">
        <f t="shared" ref="H6:H12" si="0">F6*G6</f>
        <v>936</v>
      </c>
      <c r="K6" s="14" t="s">
        <v>270</v>
      </c>
      <c r="M6" s="43" t="s">
        <v>317</v>
      </c>
      <c r="N6" s="34" t="s">
        <v>318</v>
      </c>
    </row>
    <row r="7" spans="1:14" x14ac:dyDescent="0.25">
      <c r="A7" s="11">
        <v>40364</v>
      </c>
      <c r="B7" s="12" t="s">
        <v>258</v>
      </c>
      <c r="C7" s="12" t="s">
        <v>200</v>
      </c>
      <c r="D7" s="12" t="s">
        <v>259</v>
      </c>
      <c r="E7" s="12" t="s">
        <v>260</v>
      </c>
      <c r="F7" s="45">
        <v>30</v>
      </c>
      <c r="G7" s="45">
        <v>22</v>
      </c>
      <c r="H7" s="13">
        <f t="shared" si="0"/>
        <v>660</v>
      </c>
      <c r="K7" s="14" t="s">
        <v>271</v>
      </c>
    </row>
    <row r="8" spans="1:14" x14ac:dyDescent="0.25">
      <c r="A8" s="11">
        <v>40944</v>
      </c>
      <c r="B8" s="12" t="s">
        <v>258</v>
      </c>
      <c r="C8" s="12" t="s">
        <v>200</v>
      </c>
      <c r="D8" s="12" t="s">
        <v>259</v>
      </c>
      <c r="E8" s="12" t="s">
        <v>261</v>
      </c>
      <c r="F8" s="45">
        <v>19</v>
      </c>
      <c r="G8" s="45">
        <v>49</v>
      </c>
      <c r="H8" s="13">
        <f t="shared" si="0"/>
        <v>931</v>
      </c>
      <c r="K8" s="14" t="s">
        <v>272</v>
      </c>
    </row>
    <row r="9" spans="1:14" x14ac:dyDescent="0.25">
      <c r="A9" s="11">
        <v>41577</v>
      </c>
      <c r="B9" s="12" t="s">
        <v>258</v>
      </c>
      <c r="C9" s="12" t="s">
        <v>200</v>
      </c>
      <c r="D9" s="12" t="s">
        <v>259</v>
      </c>
      <c r="E9" s="12" t="s">
        <v>262</v>
      </c>
      <c r="F9" s="45">
        <v>38</v>
      </c>
      <c r="G9" s="45">
        <v>39</v>
      </c>
      <c r="H9" s="13">
        <f t="shared" si="0"/>
        <v>1482</v>
      </c>
    </row>
    <row r="10" spans="1:14" x14ac:dyDescent="0.25">
      <c r="A10" s="11">
        <v>40417</v>
      </c>
      <c r="B10" s="12" t="s">
        <v>255</v>
      </c>
      <c r="C10" s="12" t="s">
        <v>200</v>
      </c>
      <c r="D10" s="12" t="s">
        <v>263</v>
      </c>
      <c r="E10" s="12" t="s">
        <v>262</v>
      </c>
      <c r="F10" s="45">
        <v>20</v>
      </c>
      <c r="G10" s="45">
        <v>34</v>
      </c>
      <c r="H10" s="13">
        <f t="shared" si="0"/>
        <v>680</v>
      </c>
      <c r="K10" s="36"/>
      <c r="L10" s="36" t="s">
        <v>274</v>
      </c>
      <c r="M10" s="36" t="s">
        <v>279</v>
      </c>
      <c r="N10" s="36" t="s">
        <v>280</v>
      </c>
    </row>
    <row r="11" spans="1:14" x14ac:dyDescent="0.25">
      <c r="A11" s="11">
        <v>40918</v>
      </c>
      <c r="B11" s="12" t="s">
        <v>255</v>
      </c>
      <c r="C11" s="12" t="s">
        <v>200</v>
      </c>
      <c r="D11" s="12" t="s">
        <v>259</v>
      </c>
      <c r="E11" s="12" t="s">
        <v>264</v>
      </c>
      <c r="F11" s="45">
        <v>23</v>
      </c>
      <c r="G11" s="45">
        <v>27</v>
      </c>
      <c r="H11" s="13">
        <f t="shared" si="0"/>
        <v>621</v>
      </c>
      <c r="K11" s="36" t="s">
        <v>273</v>
      </c>
      <c r="L11" s="27" t="s">
        <v>276</v>
      </c>
      <c r="M11" s="27" t="s">
        <v>277</v>
      </c>
      <c r="N11" s="27" t="s">
        <v>275</v>
      </c>
    </row>
    <row r="12" spans="1:14" x14ac:dyDescent="0.25">
      <c r="A12" s="11">
        <v>41619</v>
      </c>
      <c r="B12" s="12" t="s">
        <v>255</v>
      </c>
      <c r="C12" s="12" t="s">
        <v>200</v>
      </c>
      <c r="D12" s="12" t="s">
        <v>253</v>
      </c>
      <c r="E12" s="12" t="s">
        <v>265</v>
      </c>
      <c r="F12" s="45">
        <v>6</v>
      </c>
      <c r="G12" s="45">
        <v>25</v>
      </c>
      <c r="H12" s="13">
        <f t="shared" si="0"/>
        <v>150</v>
      </c>
      <c r="K12" s="36" t="s">
        <v>278</v>
      </c>
      <c r="L12" s="27" t="s">
        <v>277</v>
      </c>
      <c r="M12" s="27" t="s">
        <v>276</v>
      </c>
      <c r="N12" s="27" t="s">
        <v>275</v>
      </c>
    </row>
    <row r="13" spans="1:14" x14ac:dyDescent="0.25">
      <c r="H13" s="44"/>
      <c r="K13" s="36" t="s">
        <v>281</v>
      </c>
      <c r="L13" s="27" t="s">
        <v>283</v>
      </c>
      <c r="M13" s="27" t="s">
        <v>282</v>
      </c>
      <c r="N13" s="27" t="s">
        <v>284</v>
      </c>
    </row>
    <row r="14" spans="1:14" x14ac:dyDescent="0.25">
      <c r="K14" s="36"/>
      <c r="L14" s="27"/>
      <c r="M14" s="27"/>
      <c r="N14" s="27"/>
    </row>
    <row r="15" spans="1:14" ht="15.75" x14ac:dyDescent="0.25">
      <c r="A15" s="16" t="s">
        <v>269</v>
      </c>
      <c r="B15" s="15"/>
      <c r="F15" s="14" t="s">
        <v>286</v>
      </c>
      <c r="G15" s="18">
        <v>0.15</v>
      </c>
      <c r="K15" s="36" t="s">
        <v>285</v>
      </c>
      <c r="L15" s="27" t="s">
        <v>282</v>
      </c>
      <c r="M15" s="27" t="s">
        <v>283</v>
      </c>
      <c r="N15" s="27" t="s">
        <v>274</v>
      </c>
    </row>
    <row r="16" spans="1:14" ht="15.75" x14ac:dyDescent="0.25">
      <c r="A16" s="3"/>
      <c r="K16" s="14"/>
    </row>
    <row r="17" spans="1:10" x14ac:dyDescent="0.25">
      <c r="A17" s="10" t="s">
        <v>245</v>
      </c>
      <c r="B17" s="10" t="s">
        <v>246</v>
      </c>
      <c r="C17" s="10" t="s">
        <v>235</v>
      </c>
      <c r="D17" s="10" t="s">
        <v>247</v>
      </c>
      <c r="E17" s="10" t="s">
        <v>248</v>
      </c>
      <c r="F17" s="10" t="s">
        <v>249</v>
      </c>
      <c r="G17" s="10" t="s">
        <v>250</v>
      </c>
      <c r="H17" s="10" t="s">
        <v>251</v>
      </c>
    </row>
    <row r="18" spans="1:10" x14ac:dyDescent="0.25">
      <c r="A18" s="11">
        <v>41548</v>
      </c>
      <c r="B18" s="12" t="s">
        <v>252</v>
      </c>
      <c r="C18" s="12" t="s">
        <v>200</v>
      </c>
      <c r="D18" s="12" t="s">
        <v>253</v>
      </c>
      <c r="E18" s="12" t="s">
        <v>254</v>
      </c>
      <c r="F18" s="12">
        <v>16</v>
      </c>
      <c r="G18" s="13">
        <v>38</v>
      </c>
      <c r="H18" s="13">
        <f>(F18*G18)-(F18*G18*$G$15)</f>
        <v>516.79999999999995</v>
      </c>
      <c r="I18" s="44"/>
      <c r="J18" s="44"/>
    </row>
    <row r="19" spans="1:10" x14ac:dyDescent="0.25">
      <c r="A19" s="11">
        <v>40469</v>
      </c>
      <c r="B19" s="12" t="s">
        <v>255</v>
      </c>
      <c r="C19" s="12" t="s">
        <v>200</v>
      </c>
      <c r="D19" s="12" t="s">
        <v>256</v>
      </c>
      <c r="E19" s="12" t="s">
        <v>257</v>
      </c>
      <c r="F19" s="12">
        <v>24</v>
      </c>
      <c r="G19" s="13">
        <v>39</v>
      </c>
      <c r="H19" s="13">
        <f t="shared" ref="H19:H25" si="1">(F19*G19)-(F19*G19*$G$15)</f>
        <v>795.6</v>
      </c>
    </row>
    <row r="20" spans="1:10" x14ac:dyDescent="0.25">
      <c r="A20" s="11">
        <v>40364</v>
      </c>
      <c r="B20" s="12" t="s">
        <v>258</v>
      </c>
      <c r="C20" s="12" t="s">
        <v>200</v>
      </c>
      <c r="D20" s="12" t="s">
        <v>259</v>
      </c>
      <c r="E20" s="12" t="s">
        <v>260</v>
      </c>
      <c r="F20" s="12">
        <v>30</v>
      </c>
      <c r="G20" s="13">
        <v>22</v>
      </c>
      <c r="H20" s="13">
        <f t="shared" si="1"/>
        <v>561</v>
      </c>
    </row>
    <row r="21" spans="1:10" x14ac:dyDescent="0.25">
      <c r="A21" s="11">
        <v>40944</v>
      </c>
      <c r="B21" s="12" t="s">
        <v>258</v>
      </c>
      <c r="C21" s="12" t="s">
        <v>200</v>
      </c>
      <c r="D21" s="12" t="s">
        <v>259</v>
      </c>
      <c r="E21" s="12" t="s">
        <v>261</v>
      </c>
      <c r="F21" s="12">
        <v>19</v>
      </c>
      <c r="G21" s="13">
        <v>49</v>
      </c>
      <c r="H21" s="13">
        <f t="shared" si="1"/>
        <v>791.35</v>
      </c>
    </row>
    <row r="22" spans="1:10" x14ac:dyDescent="0.25">
      <c r="A22" s="11">
        <v>41577</v>
      </c>
      <c r="B22" s="12" t="s">
        <v>258</v>
      </c>
      <c r="C22" s="12" t="s">
        <v>200</v>
      </c>
      <c r="D22" s="12" t="s">
        <v>259</v>
      </c>
      <c r="E22" s="12" t="s">
        <v>262</v>
      </c>
      <c r="F22" s="12">
        <v>38</v>
      </c>
      <c r="G22" s="13">
        <v>39</v>
      </c>
      <c r="H22" s="13">
        <f t="shared" si="1"/>
        <v>1259.7</v>
      </c>
    </row>
    <row r="23" spans="1:10" x14ac:dyDescent="0.25">
      <c r="A23" s="11">
        <v>40417</v>
      </c>
      <c r="B23" s="12" t="s">
        <v>255</v>
      </c>
      <c r="C23" s="12" t="s">
        <v>200</v>
      </c>
      <c r="D23" s="12" t="s">
        <v>263</v>
      </c>
      <c r="E23" s="12" t="s">
        <v>262</v>
      </c>
      <c r="F23" s="12">
        <v>20</v>
      </c>
      <c r="G23" s="13">
        <v>34</v>
      </c>
      <c r="H23" s="13">
        <f t="shared" si="1"/>
        <v>578</v>
      </c>
    </row>
    <row r="24" spans="1:10" x14ac:dyDescent="0.25">
      <c r="A24" s="11">
        <v>40918</v>
      </c>
      <c r="B24" s="12" t="s">
        <v>255</v>
      </c>
      <c r="C24" s="12" t="s">
        <v>200</v>
      </c>
      <c r="D24" s="12" t="s">
        <v>259</v>
      </c>
      <c r="E24" s="12" t="s">
        <v>264</v>
      </c>
      <c r="F24" s="12">
        <v>23</v>
      </c>
      <c r="G24" s="13">
        <v>27</v>
      </c>
      <c r="H24" s="13">
        <f t="shared" si="1"/>
        <v>527.85</v>
      </c>
    </row>
    <row r="25" spans="1:10" x14ac:dyDescent="0.25">
      <c r="A25" s="11">
        <v>41619</v>
      </c>
      <c r="B25" s="12" t="s">
        <v>255</v>
      </c>
      <c r="C25" s="12" t="s">
        <v>200</v>
      </c>
      <c r="D25" s="12" t="s">
        <v>253</v>
      </c>
      <c r="E25" s="12" t="s">
        <v>265</v>
      </c>
      <c r="F25" s="12">
        <v>6</v>
      </c>
      <c r="G25" s="13">
        <v>25</v>
      </c>
      <c r="H25" s="13">
        <f t="shared" si="1"/>
        <v>127.5</v>
      </c>
    </row>
    <row r="26" spans="1:10" x14ac:dyDescent="0.25">
      <c r="G26" t="s">
        <v>321</v>
      </c>
      <c r="H26" s="58">
        <f>SUM(H18:H25)</f>
        <v>5157.8</v>
      </c>
    </row>
    <row r="28" spans="1:10" ht="15.75" x14ac:dyDescent="0.25">
      <c r="A28" s="60" t="s">
        <v>268</v>
      </c>
      <c r="B28" s="60"/>
    </row>
    <row r="30" spans="1:10" x14ac:dyDescent="0.25">
      <c r="A30" s="14" t="s">
        <v>319</v>
      </c>
      <c r="B30" s="10">
        <v>5</v>
      </c>
      <c r="C30" s="10">
        <v>10</v>
      </c>
      <c r="D30" s="10">
        <v>15</v>
      </c>
    </row>
    <row r="31" spans="1:10" x14ac:dyDescent="0.25">
      <c r="A31" s="10">
        <v>5</v>
      </c>
      <c r="B31" s="46">
        <f>$A31*B$30</f>
        <v>25</v>
      </c>
      <c r="C31" s="46">
        <f t="shared" ref="C31:D33" si="2">$A31*C$30</f>
        <v>50</v>
      </c>
      <c r="D31" s="46">
        <f t="shared" si="2"/>
        <v>75</v>
      </c>
    </row>
    <row r="32" spans="1:10" x14ac:dyDescent="0.25">
      <c r="A32" s="10">
        <v>10</v>
      </c>
      <c r="B32" s="46">
        <f t="shared" ref="B32:B33" si="3">$A32*B$30</f>
        <v>50</v>
      </c>
      <c r="C32" s="46">
        <f t="shared" si="2"/>
        <v>100</v>
      </c>
      <c r="D32" s="46">
        <f t="shared" si="2"/>
        <v>150</v>
      </c>
    </row>
    <row r="33" spans="1:4" x14ac:dyDescent="0.25">
      <c r="A33" s="10">
        <v>15</v>
      </c>
      <c r="B33" s="46">
        <f t="shared" si="3"/>
        <v>75</v>
      </c>
      <c r="C33" s="46">
        <f t="shared" si="2"/>
        <v>150</v>
      </c>
      <c r="D33" s="46">
        <f t="shared" si="2"/>
        <v>225</v>
      </c>
    </row>
  </sheetData>
  <mergeCells count="1">
    <mergeCell ref="A28:B2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A37CA-A048-4750-97C7-658797BE7217}">
  <dimension ref="A3:G8"/>
  <sheetViews>
    <sheetView workbookViewId="0">
      <selection activeCell="C5" sqref="C5"/>
    </sheetView>
  </sheetViews>
  <sheetFormatPr defaultRowHeight="15" x14ac:dyDescent="0.25"/>
  <sheetData>
    <row r="3" spans="1:7" x14ac:dyDescent="0.25">
      <c r="B3" t="s">
        <v>320</v>
      </c>
    </row>
    <row r="4" spans="1:7" x14ac:dyDescent="0.25">
      <c r="A4">
        <v>10</v>
      </c>
      <c r="B4">
        <v>1</v>
      </c>
      <c r="C4">
        <f>B4*A4</f>
        <v>10</v>
      </c>
      <c r="D4">
        <f>B4</f>
        <v>1</v>
      </c>
      <c r="E4">
        <f t="shared" ref="E4:G4" si="0">C4</f>
        <v>10</v>
      </c>
      <c r="F4">
        <f t="shared" si="0"/>
        <v>1</v>
      </c>
      <c r="G4">
        <f t="shared" si="0"/>
        <v>10</v>
      </c>
    </row>
    <row r="5" spans="1:7" x14ac:dyDescent="0.25">
      <c r="B5">
        <v>3</v>
      </c>
      <c r="C5">
        <f t="shared" ref="C5:C8" si="1">B5*A5</f>
        <v>0</v>
      </c>
      <c r="D5">
        <f t="shared" ref="D5:D8" si="2">B5</f>
        <v>3</v>
      </c>
    </row>
    <row r="6" spans="1:7" x14ac:dyDescent="0.25">
      <c r="B6">
        <v>5</v>
      </c>
      <c r="C6">
        <f t="shared" si="1"/>
        <v>0</v>
      </c>
      <c r="D6">
        <f t="shared" si="2"/>
        <v>5</v>
      </c>
    </row>
    <row r="7" spans="1:7" x14ac:dyDescent="0.25">
      <c r="B7">
        <v>7</v>
      </c>
      <c r="C7">
        <f t="shared" si="1"/>
        <v>0</v>
      </c>
      <c r="D7">
        <f t="shared" si="2"/>
        <v>7</v>
      </c>
    </row>
    <row r="8" spans="1:7" x14ac:dyDescent="0.25">
      <c r="B8">
        <v>9</v>
      </c>
      <c r="C8">
        <f t="shared" si="1"/>
        <v>0</v>
      </c>
      <c r="D8">
        <f t="shared" si="2"/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6CE96-97DE-47DE-95ED-B8AC9F9B7C63}">
  <sheetPr codeName="Sheet4"/>
  <dimension ref="A2:J13"/>
  <sheetViews>
    <sheetView workbookViewId="0">
      <selection activeCell="J3" sqref="J3"/>
    </sheetView>
  </sheetViews>
  <sheetFormatPr defaultRowHeight="15" x14ac:dyDescent="0.25"/>
  <cols>
    <col min="1" max="1" width="6.85546875" customWidth="1"/>
    <col min="2" max="2" width="12.28515625" bestFit="1" customWidth="1"/>
    <col min="3" max="3" width="11.28515625" bestFit="1" customWidth="1"/>
    <col min="4" max="4" width="7.140625" bestFit="1" customWidth="1"/>
    <col min="5" max="5" width="9.28515625" bestFit="1" customWidth="1"/>
    <col min="6" max="6" width="10.28515625" bestFit="1" customWidth="1"/>
    <col min="7" max="7" width="10.7109375" bestFit="1" customWidth="1"/>
    <col min="9" max="9" width="24" bestFit="1" customWidth="1"/>
  </cols>
  <sheetData>
    <row r="2" spans="1:10" x14ac:dyDescent="0.25">
      <c r="A2" s="19" t="s">
        <v>288</v>
      </c>
      <c r="B2" s="19" t="s">
        <v>237</v>
      </c>
      <c r="C2" s="19" t="s">
        <v>236</v>
      </c>
      <c r="D2" s="19" t="s">
        <v>235</v>
      </c>
      <c r="E2" s="19" t="s">
        <v>234</v>
      </c>
      <c r="F2" s="19" t="s">
        <v>233</v>
      </c>
      <c r="G2" s="19" t="s">
        <v>232</v>
      </c>
      <c r="I2" s="19" t="s">
        <v>287</v>
      </c>
    </row>
    <row r="3" spans="1:10" ht="21" x14ac:dyDescent="0.35">
      <c r="A3" s="28">
        <v>1</v>
      </c>
      <c r="B3" s="20" t="s">
        <v>229</v>
      </c>
      <c r="C3" s="20" t="s">
        <v>28</v>
      </c>
      <c r="D3" s="20" t="s">
        <v>10</v>
      </c>
      <c r="E3" s="20" t="s">
        <v>64</v>
      </c>
      <c r="F3" s="21">
        <v>28126</v>
      </c>
      <c r="G3" s="22">
        <v>21875</v>
      </c>
      <c r="I3" s="23" t="s">
        <v>210</v>
      </c>
      <c r="J3" s="24"/>
    </row>
    <row r="4" spans="1:10" ht="21" x14ac:dyDescent="0.35">
      <c r="A4" s="28">
        <v>2</v>
      </c>
      <c r="B4" s="20" t="s">
        <v>227</v>
      </c>
      <c r="C4" s="20" t="s">
        <v>28</v>
      </c>
      <c r="D4" s="20" t="s">
        <v>32</v>
      </c>
      <c r="E4" s="20" t="s">
        <v>58</v>
      </c>
      <c r="F4" s="21">
        <v>28126</v>
      </c>
      <c r="G4" s="22">
        <v>17500</v>
      </c>
      <c r="I4" s="25" t="s">
        <v>226</v>
      </c>
      <c r="J4" s="26"/>
    </row>
    <row r="5" spans="1:10" ht="21" x14ac:dyDescent="0.35">
      <c r="A5" s="28">
        <v>3</v>
      </c>
      <c r="B5" s="20" t="s">
        <v>19</v>
      </c>
      <c r="C5" s="20" t="s">
        <v>75</v>
      </c>
      <c r="D5" s="20" t="s">
        <v>1</v>
      </c>
      <c r="E5" s="20" t="s">
        <v>0</v>
      </c>
      <c r="F5" s="21">
        <v>36220</v>
      </c>
      <c r="G5" s="22">
        <v>7000</v>
      </c>
      <c r="I5" s="25" t="s">
        <v>224</v>
      </c>
      <c r="J5" s="26"/>
    </row>
    <row r="6" spans="1:10" ht="21" x14ac:dyDescent="0.35">
      <c r="A6" s="28">
        <v>4</v>
      </c>
      <c r="B6" s="20" t="s">
        <v>223</v>
      </c>
      <c r="C6" s="20" t="s">
        <v>22</v>
      </c>
      <c r="D6" s="20" t="s">
        <v>10</v>
      </c>
      <c r="E6" s="20" t="s">
        <v>9</v>
      </c>
      <c r="F6" s="21">
        <v>29183</v>
      </c>
      <c r="G6" s="22">
        <v>12250</v>
      </c>
      <c r="I6" s="25" t="s">
        <v>222</v>
      </c>
      <c r="J6" s="26"/>
    </row>
    <row r="7" spans="1:10" ht="21" x14ac:dyDescent="0.35">
      <c r="A7" s="28">
        <v>5</v>
      </c>
      <c r="B7" s="20" t="s">
        <v>220</v>
      </c>
      <c r="C7" s="20" t="s">
        <v>15</v>
      </c>
      <c r="D7" s="20" t="s">
        <v>10</v>
      </c>
      <c r="E7" s="20" t="s">
        <v>104</v>
      </c>
      <c r="F7" s="21">
        <v>32755</v>
      </c>
      <c r="G7" s="22">
        <v>21000</v>
      </c>
      <c r="I7" s="25" t="s">
        <v>209</v>
      </c>
      <c r="J7" s="26"/>
    </row>
    <row r="8" spans="1:10" x14ac:dyDescent="0.25">
      <c r="A8" s="28">
        <v>6</v>
      </c>
      <c r="B8" s="20" t="s">
        <v>218</v>
      </c>
      <c r="C8" s="20" t="s">
        <v>15</v>
      </c>
      <c r="D8" s="20" t="s">
        <v>10</v>
      </c>
      <c r="E8" s="20" t="s">
        <v>183</v>
      </c>
      <c r="F8" s="21">
        <v>32390</v>
      </c>
      <c r="G8" s="22">
        <v>12425</v>
      </c>
    </row>
    <row r="9" spans="1:10" x14ac:dyDescent="0.25">
      <c r="A9" s="28">
        <v>7</v>
      </c>
      <c r="B9" s="20" t="s">
        <v>216</v>
      </c>
      <c r="C9" s="20" t="s">
        <v>91</v>
      </c>
      <c r="D9" s="20" t="s">
        <v>6</v>
      </c>
      <c r="E9" s="20" t="s">
        <v>44</v>
      </c>
      <c r="F9" s="21">
        <v>33102</v>
      </c>
      <c r="G9" s="22">
        <v>13825</v>
      </c>
    </row>
    <row r="10" spans="1:10" x14ac:dyDescent="0.25">
      <c r="A10" s="28">
        <v>8</v>
      </c>
      <c r="B10" s="20" t="s">
        <v>213</v>
      </c>
      <c r="C10" s="20" t="s">
        <v>15</v>
      </c>
      <c r="D10" s="20" t="s">
        <v>10</v>
      </c>
      <c r="E10" s="20" t="s">
        <v>52</v>
      </c>
      <c r="F10" s="21">
        <v>32755</v>
      </c>
      <c r="G10" s="22">
        <v>12425</v>
      </c>
    </row>
    <row r="11" spans="1:10" x14ac:dyDescent="0.25">
      <c r="A11" s="28">
        <v>9</v>
      </c>
      <c r="B11" s="20" t="s">
        <v>207</v>
      </c>
      <c r="C11" s="20" t="s">
        <v>28</v>
      </c>
      <c r="D11" s="20" t="s">
        <v>10</v>
      </c>
      <c r="E11" s="20" t="s">
        <v>157</v>
      </c>
      <c r="F11" s="21">
        <v>36506</v>
      </c>
      <c r="G11" s="22">
        <v>14875</v>
      </c>
    </row>
    <row r="12" spans="1:10" x14ac:dyDescent="0.25">
      <c r="A12" s="28">
        <v>10</v>
      </c>
      <c r="B12" s="20" t="s">
        <v>204</v>
      </c>
      <c r="C12" s="20" t="s">
        <v>22</v>
      </c>
      <c r="D12" s="20" t="s">
        <v>32</v>
      </c>
      <c r="E12" s="20" t="s">
        <v>78</v>
      </c>
      <c r="F12" s="21">
        <v>28326</v>
      </c>
      <c r="G12" s="22">
        <v>15750</v>
      </c>
    </row>
    <row r="13" spans="1:10" x14ac:dyDescent="0.25">
      <c r="A13" s="28">
        <v>11</v>
      </c>
      <c r="B13" s="20" t="s">
        <v>201</v>
      </c>
      <c r="C13" s="20" t="s">
        <v>2</v>
      </c>
      <c r="D13" s="20" t="s">
        <v>6</v>
      </c>
      <c r="E13" s="20" t="s">
        <v>44</v>
      </c>
      <c r="F13" s="21">
        <v>31402</v>
      </c>
      <c r="G13" s="22">
        <v>14875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17D1F-DE5A-49BA-B391-C4983DD55278}">
  <sheetPr codeName="Sheet5"/>
  <dimension ref="A2:R24"/>
  <sheetViews>
    <sheetView topLeftCell="G8" zoomScale="115" zoomScaleNormal="115" workbookViewId="0">
      <selection activeCell="L24" sqref="L24"/>
    </sheetView>
  </sheetViews>
  <sheetFormatPr defaultRowHeight="15" x14ac:dyDescent="0.25"/>
  <cols>
    <col min="1" max="1" width="9.140625" bestFit="1" customWidth="1"/>
    <col min="2" max="2" width="12.28515625" bestFit="1" customWidth="1"/>
    <col min="3" max="3" width="14.28515625" customWidth="1"/>
    <col min="4" max="4" width="7.140625" bestFit="1" customWidth="1"/>
    <col min="5" max="5" width="9.28515625" bestFit="1" customWidth="1"/>
    <col min="6" max="6" width="10.28515625" bestFit="1" customWidth="1"/>
    <col min="7" max="7" width="27.5703125" bestFit="1" customWidth="1"/>
    <col min="9" max="9" width="10.140625" bestFit="1" customWidth="1"/>
    <col min="10" max="10" width="13.7109375" bestFit="1" customWidth="1"/>
    <col min="11" max="11" width="29.28515625" bestFit="1" customWidth="1"/>
    <col min="12" max="12" width="43.28515625" bestFit="1" customWidth="1"/>
    <col min="14" max="14" width="12.7109375" bestFit="1" customWidth="1"/>
    <col min="15" max="15" width="11.28515625" bestFit="1" customWidth="1"/>
  </cols>
  <sheetData>
    <row r="2" spans="1:18" x14ac:dyDescent="0.25">
      <c r="N2" s="14" t="s">
        <v>307</v>
      </c>
    </row>
    <row r="3" spans="1:18" x14ac:dyDescent="0.25">
      <c r="A3" s="19" t="s">
        <v>288</v>
      </c>
      <c r="B3" s="19" t="s">
        <v>237</v>
      </c>
      <c r="C3" s="19" t="s">
        <v>236</v>
      </c>
      <c r="D3" s="19" t="s">
        <v>235</v>
      </c>
      <c r="E3" s="19" t="s">
        <v>234</v>
      </c>
      <c r="F3" s="19" t="s">
        <v>233</v>
      </c>
      <c r="G3" s="19" t="s">
        <v>232</v>
      </c>
      <c r="I3" s="29" t="s">
        <v>293</v>
      </c>
      <c r="J3" s="19" t="s">
        <v>211</v>
      </c>
      <c r="N3" s="29" t="s">
        <v>294</v>
      </c>
      <c r="O3" s="19" t="s">
        <v>295</v>
      </c>
    </row>
    <row r="4" spans="1:18" x14ac:dyDescent="0.25">
      <c r="A4" s="28">
        <v>1</v>
      </c>
      <c r="B4" s="20" t="s">
        <v>229</v>
      </c>
      <c r="C4" s="20" t="s">
        <v>28</v>
      </c>
      <c r="D4" s="20" t="s">
        <v>10</v>
      </c>
      <c r="E4" s="20" t="s">
        <v>64</v>
      </c>
      <c r="F4" s="21">
        <v>28126</v>
      </c>
      <c r="G4" s="39">
        <v>21875</v>
      </c>
      <c r="J4" s="37">
        <f>SUM(G4:G14)</f>
        <v>161800</v>
      </c>
      <c r="O4" s="41">
        <f>COUNT(A4:A14)</f>
        <v>11</v>
      </c>
    </row>
    <row r="5" spans="1:18" x14ac:dyDescent="0.25">
      <c r="A5" s="28">
        <v>2</v>
      </c>
      <c r="B5" s="20" t="s">
        <v>227</v>
      </c>
      <c r="C5" s="20" t="s">
        <v>28</v>
      </c>
      <c r="D5" s="20" t="s">
        <v>32</v>
      </c>
      <c r="E5" s="20" t="s">
        <v>58</v>
      </c>
      <c r="F5" s="21">
        <v>28126</v>
      </c>
      <c r="G5" s="38">
        <v>17500</v>
      </c>
    </row>
    <row r="6" spans="1:18" x14ac:dyDescent="0.25">
      <c r="A6" s="28">
        <v>3</v>
      </c>
      <c r="B6" s="20" t="s">
        <v>19</v>
      </c>
      <c r="C6" s="20" t="s">
        <v>75</v>
      </c>
      <c r="D6" s="20" t="s">
        <v>1</v>
      </c>
      <c r="E6" s="20" t="s">
        <v>0</v>
      </c>
      <c r="F6" s="21">
        <v>36220</v>
      </c>
      <c r="G6" s="38">
        <v>7000</v>
      </c>
      <c r="I6" s="29" t="s">
        <v>297</v>
      </c>
      <c r="J6" s="19" t="s">
        <v>236</v>
      </c>
      <c r="K6" s="19" t="s">
        <v>232</v>
      </c>
      <c r="N6" s="29" t="s">
        <v>298</v>
      </c>
      <c r="O6" s="19" t="s">
        <v>236</v>
      </c>
      <c r="P6" s="19" t="s">
        <v>299</v>
      </c>
    </row>
    <row r="7" spans="1:18" x14ac:dyDescent="0.25">
      <c r="A7" s="28">
        <v>4</v>
      </c>
      <c r="B7" s="20" t="s">
        <v>223</v>
      </c>
      <c r="C7" s="20" t="s">
        <v>22</v>
      </c>
      <c r="D7" s="20" t="s">
        <v>10</v>
      </c>
      <c r="E7" s="20"/>
      <c r="F7" s="21">
        <v>29183</v>
      </c>
      <c r="G7" s="38">
        <v>12250</v>
      </c>
      <c r="J7" s="20" t="s">
        <v>28</v>
      </c>
      <c r="K7" s="37">
        <f>SUMIF(C4:C14,J7,G4:G14)</f>
        <v>54250</v>
      </c>
      <c r="O7" s="20" t="s">
        <v>28</v>
      </c>
      <c r="P7">
        <f>COUNTIF(C4:C14,O7)</f>
        <v>3</v>
      </c>
    </row>
    <row r="8" spans="1:18" x14ac:dyDescent="0.25">
      <c r="A8" s="28">
        <v>5</v>
      </c>
      <c r="B8" s="20" t="s">
        <v>220</v>
      </c>
      <c r="C8" s="20" t="s">
        <v>91</v>
      </c>
      <c r="D8" s="20" t="s">
        <v>10</v>
      </c>
      <c r="E8" s="20" t="s">
        <v>325</v>
      </c>
      <c r="F8" s="21">
        <v>32755</v>
      </c>
      <c r="G8" s="38">
        <v>21000</v>
      </c>
    </row>
    <row r="9" spans="1:18" x14ac:dyDescent="0.25">
      <c r="A9" s="28">
        <v>6</v>
      </c>
      <c r="B9" s="20" t="s">
        <v>218</v>
      </c>
      <c r="C9" s="20" t="s">
        <v>15</v>
      </c>
      <c r="D9" s="20" t="s">
        <v>10</v>
      </c>
      <c r="E9" s="20" t="s">
        <v>183</v>
      </c>
      <c r="F9" s="21">
        <v>32390</v>
      </c>
      <c r="G9" s="38">
        <v>10425</v>
      </c>
      <c r="I9" s="29" t="s">
        <v>301</v>
      </c>
      <c r="J9" s="19" t="s">
        <v>236</v>
      </c>
      <c r="K9" s="19" t="s">
        <v>235</v>
      </c>
      <c r="L9" s="19" t="s">
        <v>232</v>
      </c>
      <c r="N9" s="29" t="s">
        <v>302</v>
      </c>
      <c r="O9" s="19" t="s">
        <v>236</v>
      </c>
      <c r="P9" s="19" t="s">
        <v>235</v>
      </c>
      <c r="Q9" s="19" t="s">
        <v>299</v>
      </c>
    </row>
    <row r="10" spans="1:18" x14ac:dyDescent="0.25">
      <c r="A10" s="28">
        <v>7</v>
      </c>
      <c r="B10" s="20" t="s">
        <v>216</v>
      </c>
      <c r="C10" s="20" t="s">
        <v>91</v>
      </c>
      <c r="D10" s="20" t="s">
        <v>6</v>
      </c>
      <c r="E10" s="20" t="s">
        <v>324</v>
      </c>
      <c r="F10" s="21">
        <v>33102</v>
      </c>
      <c r="G10" s="38">
        <v>13825</v>
      </c>
      <c r="J10" s="20" t="s">
        <v>28</v>
      </c>
      <c r="K10" s="20" t="s">
        <v>10</v>
      </c>
      <c r="L10" s="37">
        <f>SUMIFS(G4:G14,C4:C14,J10,D4:D14,K10)</f>
        <v>36750</v>
      </c>
      <c r="O10" s="20" t="s">
        <v>28</v>
      </c>
      <c r="P10" s="20" t="s">
        <v>10</v>
      </c>
      <c r="Q10">
        <f>COUNTIFS(C4:C14,O10,D4:D14,P10)</f>
        <v>2</v>
      </c>
    </row>
    <row r="11" spans="1:18" x14ac:dyDescent="0.25">
      <c r="A11" s="28">
        <v>8</v>
      </c>
      <c r="B11" s="20" t="s">
        <v>213</v>
      </c>
      <c r="C11" s="20" t="s">
        <v>15</v>
      </c>
      <c r="D11" s="20" t="s">
        <v>10</v>
      </c>
      <c r="E11" s="20" t="s">
        <v>52</v>
      </c>
      <c r="F11" s="21">
        <v>32755</v>
      </c>
      <c r="G11" s="38">
        <v>12425</v>
      </c>
    </row>
    <row r="12" spans="1:18" x14ac:dyDescent="0.25">
      <c r="A12" s="28">
        <v>9</v>
      </c>
      <c r="B12" s="20" t="s">
        <v>207</v>
      </c>
      <c r="C12" s="20" t="s">
        <v>28</v>
      </c>
      <c r="D12" s="20" t="s">
        <v>10</v>
      </c>
      <c r="E12" s="20" t="s">
        <v>157</v>
      </c>
      <c r="F12" s="21">
        <v>36506</v>
      </c>
      <c r="G12" s="39">
        <v>14875</v>
      </c>
      <c r="N12" s="14" t="s">
        <v>309</v>
      </c>
    </row>
    <row r="13" spans="1:18" x14ac:dyDescent="0.25">
      <c r="A13" s="28">
        <v>10</v>
      </c>
      <c r="B13" s="20" t="s">
        <v>204</v>
      </c>
      <c r="C13" s="20" t="s">
        <v>22</v>
      </c>
      <c r="D13" s="20" t="s">
        <v>32</v>
      </c>
      <c r="E13" s="20" t="s">
        <v>78</v>
      </c>
      <c r="F13" s="21">
        <v>28326</v>
      </c>
      <c r="G13" s="38">
        <v>15750</v>
      </c>
      <c r="I13" s="29" t="s">
        <v>296</v>
      </c>
      <c r="J13" s="19" t="s">
        <v>232</v>
      </c>
      <c r="N13" s="29" t="s">
        <v>304</v>
      </c>
      <c r="O13" s="61" t="s">
        <v>310</v>
      </c>
      <c r="P13" s="61"/>
      <c r="Q13" s="61"/>
      <c r="R13" s="61"/>
    </row>
    <row r="14" spans="1:18" x14ac:dyDescent="0.25">
      <c r="A14" s="28">
        <v>11</v>
      </c>
      <c r="B14" s="20" t="s">
        <v>201</v>
      </c>
      <c r="C14" s="20" t="s">
        <v>2</v>
      </c>
      <c r="D14" s="20" t="s">
        <v>6</v>
      </c>
      <c r="E14" s="20" t="s">
        <v>44</v>
      </c>
      <c r="F14" s="21">
        <v>31402</v>
      </c>
      <c r="G14" s="38">
        <v>14875</v>
      </c>
      <c r="J14" s="30">
        <f>AVERAGE(G4:G14)</f>
        <v>14709.09090909091</v>
      </c>
      <c r="O14" s="42">
        <f>COUNTBLANK(E4:E14)</f>
        <v>1</v>
      </c>
    </row>
    <row r="16" spans="1:18" ht="15.75" x14ac:dyDescent="0.3">
      <c r="I16" s="29" t="s">
        <v>300</v>
      </c>
      <c r="J16" s="19" t="s">
        <v>236</v>
      </c>
      <c r="K16" s="19" t="s">
        <v>232</v>
      </c>
      <c r="N16" s="31" t="s">
        <v>308</v>
      </c>
    </row>
    <row r="17" spans="2:18" x14ac:dyDescent="0.25">
      <c r="B17" s="29" t="s">
        <v>290</v>
      </c>
      <c r="C17" s="19" t="s">
        <v>232</v>
      </c>
      <c r="E17" s="29" t="s">
        <v>289</v>
      </c>
      <c r="F17" s="19" t="s">
        <v>236</v>
      </c>
      <c r="G17" s="19" t="s">
        <v>232</v>
      </c>
      <c r="J17" s="20" t="s">
        <v>28</v>
      </c>
      <c r="K17" s="30">
        <f>AVERAGEIF(C4:C14,J17,G4:G14)</f>
        <v>18083.333333333332</v>
      </c>
      <c r="N17" s="29" t="s">
        <v>305</v>
      </c>
      <c r="O17" s="62" t="s">
        <v>311</v>
      </c>
      <c r="P17" s="62"/>
      <c r="Q17" s="62"/>
      <c r="R17" s="62"/>
    </row>
    <row r="18" spans="2:18" x14ac:dyDescent="0.25">
      <c r="C18" s="40"/>
      <c r="E18" s="27"/>
      <c r="F18" s="20" t="s">
        <v>15</v>
      </c>
      <c r="G18" s="37"/>
      <c r="O18" s="27">
        <f>COUNTA(E4:E14)</f>
        <v>10</v>
      </c>
    </row>
    <row r="19" spans="2:18" x14ac:dyDescent="0.25">
      <c r="F19" s="32"/>
      <c r="G19" s="33"/>
      <c r="I19" s="29" t="s">
        <v>303</v>
      </c>
      <c r="J19" s="19" t="s">
        <v>236</v>
      </c>
      <c r="K19" s="19" t="s">
        <v>235</v>
      </c>
      <c r="L19" s="19" t="s">
        <v>232</v>
      </c>
    </row>
    <row r="20" spans="2:18" x14ac:dyDescent="0.25">
      <c r="J20" s="20" t="s">
        <v>28</v>
      </c>
      <c r="K20" s="20" t="s">
        <v>10</v>
      </c>
      <c r="L20" s="30">
        <f>AVERAGEIFS(G4:G14,C4:C14,J20,D4:D14,K20)</f>
        <v>18375</v>
      </c>
      <c r="N20" s="29" t="s">
        <v>305</v>
      </c>
      <c r="O20" s="62" t="s">
        <v>306</v>
      </c>
      <c r="P20" s="62"/>
      <c r="Q20" s="62"/>
      <c r="R20" s="62"/>
    </row>
    <row r="21" spans="2:18" x14ac:dyDescent="0.25">
      <c r="B21" s="29" t="s">
        <v>292</v>
      </c>
      <c r="C21" s="19" t="s">
        <v>232</v>
      </c>
      <c r="E21" s="29" t="s">
        <v>291</v>
      </c>
      <c r="F21" s="19" t="s">
        <v>236</v>
      </c>
      <c r="G21" s="19" t="s">
        <v>232</v>
      </c>
      <c r="O21" s="27">
        <f>COUNTA(A4:A14)</f>
        <v>11</v>
      </c>
    </row>
    <row r="22" spans="2:18" x14ac:dyDescent="0.25">
      <c r="C22" s="40"/>
      <c r="E22" s="27"/>
      <c r="F22" s="20" t="s">
        <v>15</v>
      </c>
      <c r="G22" s="30"/>
    </row>
    <row r="23" spans="2:18" x14ac:dyDescent="0.25">
      <c r="F23" s="32"/>
      <c r="G23" s="33"/>
    </row>
    <row r="24" spans="2:18" x14ac:dyDescent="0.25">
      <c r="K24" t="s">
        <v>323</v>
      </c>
      <c r="L24" s="63">
        <f>COUNTBLANK(E4:E14)/COUNTA(E4:E14)+COUNTBLANK(E4:E14)</f>
        <v>1.1000000000000001</v>
      </c>
    </row>
  </sheetData>
  <mergeCells count="3">
    <mergeCell ref="O13:R13"/>
    <mergeCell ref="O17:R17"/>
    <mergeCell ref="O20:R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E692-3BA6-4280-9525-342475A0A103}">
  <sheetPr codeName="Sheet6"/>
  <dimension ref="A1:R13"/>
  <sheetViews>
    <sheetView topLeftCell="C1" workbookViewId="0">
      <selection activeCell="O14" sqref="O14"/>
    </sheetView>
  </sheetViews>
  <sheetFormatPr defaultRowHeight="15" x14ac:dyDescent="0.25"/>
  <cols>
    <col min="1" max="1" width="6.5703125" bestFit="1" customWidth="1"/>
    <col min="2" max="2" width="12.28515625" bestFit="1" customWidth="1"/>
    <col min="3" max="3" width="11.28515625" bestFit="1" customWidth="1"/>
    <col min="4" max="4" width="7.140625" bestFit="1" customWidth="1"/>
    <col min="5" max="5" width="9.28515625" bestFit="1" customWidth="1"/>
    <col min="6" max="6" width="10.28515625" bestFit="1" customWidth="1"/>
    <col min="7" max="7" width="10.7109375" bestFit="1" customWidth="1"/>
    <col min="8" max="8" width="8" bestFit="1" customWidth="1"/>
    <col min="9" max="9" width="18.28515625" bestFit="1" customWidth="1"/>
    <col min="10" max="10" width="11.7109375" bestFit="1" customWidth="1"/>
    <col min="17" max="17" width="13.42578125" style="14" bestFit="1" customWidth="1"/>
    <col min="18" max="18" width="11.140625" bestFit="1" customWidth="1"/>
  </cols>
  <sheetData>
    <row r="1" spans="1:18" x14ac:dyDescent="0.25">
      <c r="A1" s="19" t="s">
        <v>288</v>
      </c>
      <c r="B1" s="19" t="s">
        <v>237</v>
      </c>
      <c r="C1" s="19" t="s">
        <v>236</v>
      </c>
      <c r="D1" s="19" t="s">
        <v>235</v>
      </c>
      <c r="E1" s="19" t="s">
        <v>234</v>
      </c>
      <c r="F1" s="19" t="s">
        <v>233</v>
      </c>
      <c r="G1" s="19" t="s">
        <v>232</v>
      </c>
      <c r="H1" s="19" t="s">
        <v>312</v>
      </c>
      <c r="I1" s="19" t="s">
        <v>313</v>
      </c>
      <c r="J1" s="19" t="s">
        <v>314</v>
      </c>
    </row>
    <row r="2" spans="1:18" x14ac:dyDescent="0.25">
      <c r="A2" s="28">
        <v>1</v>
      </c>
      <c r="B2" s="20" t="s">
        <v>229</v>
      </c>
      <c r="C2" s="20" t="s">
        <v>28</v>
      </c>
      <c r="D2" s="20" t="s">
        <v>10</v>
      </c>
      <c r="E2" s="20" t="s">
        <v>64</v>
      </c>
      <c r="F2" s="21">
        <v>28126</v>
      </c>
      <c r="G2" s="22">
        <v>21875</v>
      </c>
      <c r="H2" s="27">
        <f>G2*$R$2</f>
        <v>7656.2499999999991</v>
      </c>
      <c r="I2" s="27">
        <f>G2*$R$3</f>
        <v>6562.5</v>
      </c>
      <c r="J2" s="38">
        <f>SUM(G2:I2)</f>
        <v>36093.75</v>
      </c>
      <c r="Q2" s="34" t="s">
        <v>312</v>
      </c>
      <c r="R2" s="35">
        <v>0.35</v>
      </c>
    </row>
    <row r="3" spans="1:18" x14ac:dyDescent="0.25">
      <c r="A3" s="28">
        <v>2</v>
      </c>
      <c r="B3" s="20" t="s">
        <v>227</v>
      </c>
      <c r="C3" s="20" t="s">
        <v>28</v>
      </c>
      <c r="D3" s="20" t="s">
        <v>32</v>
      </c>
      <c r="E3" s="20" t="s">
        <v>58</v>
      </c>
      <c r="F3" s="21">
        <v>28126</v>
      </c>
      <c r="G3" s="22">
        <v>17500</v>
      </c>
      <c r="H3" s="27">
        <f t="shared" ref="H3:H12" si="0">G3*$R$2</f>
        <v>6125</v>
      </c>
      <c r="I3" s="27">
        <f t="shared" ref="I3:I12" si="1">G3*$R$3</f>
        <v>5250</v>
      </c>
      <c r="J3" s="38">
        <f t="shared" ref="J3:J12" si="2">SUM(G3:I3)</f>
        <v>28875</v>
      </c>
      <c r="Q3" s="34" t="s">
        <v>313</v>
      </c>
      <c r="R3" s="35">
        <v>0.3</v>
      </c>
    </row>
    <row r="4" spans="1:18" x14ac:dyDescent="0.25">
      <c r="A4" s="28">
        <v>3</v>
      </c>
      <c r="B4" s="20" t="s">
        <v>19</v>
      </c>
      <c r="C4" s="20" t="s">
        <v>75</v>
      </c>
      <c r="D4" s="20" t="s">
        <v>1</v>
      </c>
      <c r="E4" s="20" t="s">
        <v>0</v>
      </c>
      <c r="F4" s="21">
        <v>36220</v>
      </c>
      <c r="G4" s="22">
        <v>7000</v>
      </c>
      <c r="H4" s="27">
        <f t="shared" si="0"/>
        <v>2450</v>
      </c>
      <c r="I4" s="27">
        <f t="shared" si="1"/>
        <v>2100</v>
      </c>
      <c r="J4" s="38">
        <f t="shared" si="2"/>
        <v>11550</v>
      </c>
      <c r="R4" s="14"/>
    </row>
    <row r="5" spans="1:18" x14ac:dyDescent="0.25">
      <c r="A5" s="28">
        <v>4</v>
      </c>
      <c r="B5" s="20" t="s">
        <v>223</v>
      </c>
      <c r="C5" s="20" t="s">
        <v>22</v>
      </c>
      <c r="D5" s="20" t="s">
        <v>10</v>
      </c>
      <c r="E5" s="20" t="s">
        <v>9</v>
      </c>
      <c r="F5" s="21">
        <v>29183</v>
      </c>
      <c r="G5" s="22">
        <v>12250</v>
      </c>
      <c r="H5" s="27">
        <f t="shared" si="0"/>
        <v>4287.5</v>
      </c>
      <c r="I5" s="27">
        <f t="shared" si="1"/>
        <v>3675</v>
      </c>
      <c r="J5" s="38">
        <f t="shared" si="2"/>
        <v>20212.5</v>
      </c>
      <c r="Q5" s="34" t="s">
        <v>236</v>
      </c>
      <c r="R5" s="36" t="s">
        <v>28</v>
      </c>
    </row>
    <row r="6" spans="1:18" x14ac:dyDescent="0.25">
      <c r="A6" s="28">
        <v>5</v>
      </c>
      <c r="B6" s="20" t="s">
        <v>220</v>
      </c>
      <c r="C6" s="20" t="s">
        <v>91</v>
      </c>
      <c r="D6" s="20" t="s">
        <v>10</v>
      </c>
      <c r="E6" s="20" t="s">
        <v>5</v>
      </c>
      <c r="F6" s="21">
        <v>32755</v>
      </c>
      <c r="G6" s="22">
        <v>21000</v>
      </c>
      <c r="H6" s="27">
        <f t="shared" si="0"/>
        <v>7349.9999999999991</v>
      </c>
      <c r="I6" s="27">
        <f t="shared" si="1"/>
        <v>6300</v>
      </c>
      <c r="J6" s="38">
        <f t="shared" si="2"/>
        <v>34650</v>
      </c>
      <c r="Q6" s="34" t="s">
        <v>235</v>
      </c>
      <c r="R6" s="36" t="s">
        <v>206</v>
      </c>
    </row>
    <row r="7" spans="1:18" x14ac:dyDescent="0.25">
      <c r="A7" s="28">
        <v>6</v>
      </c>
      <c r="B7" s="20" t="s">
        <v>218</v>
      </c>
      <c r="C7" s="20" t="s">
        <v>15</v>
      </c>
      <c r="D7" s="20" t="s">
        <v>10</v>
      </c>
      <c r="E7" s="20" t="s">
        <v>183</v>
      </c>
      <c r="F7" s="21">
        <v>32390</v>
      </c>
      <c r="G7" s="22">
        <v>12425</v>
      </c>
      <c r="H7" s="27">
        <f t="shared" si="0"/>
        <v>4348.75</v>
      </c>
      <c r="I7" s="27">
        <f t="shared" si="1"/>
        <v>3727.5</v>
      </c>
      <c r="J7" s="38">
        <f t="shared" si="2"/>
        <v>20501.25</v>
      </c>
      <c r="R7" s="14"/>
    </row>
    <row r="8" spans="1:18" x14ac:dyDescent="0.25">
      <c r="A8" s="28">
        <v>7</v>
      </c>
      <c r="B8" s="20" t="s">
        <v>216</v>
      </c>
      <c r="C8" s="20" t="s">
        <v>91</v>
      </c>
      <c r="D8" s="20" t="s">
        <v>6</v>
      </c>
      <c r="E8" s="20" t="s">
        <v>5</v>
      </c>
      <c r="F8" s="21">
        <v>33102</v>
      </c>
      <c r="G8" s="22">
        <v>13825</v>
      </c>
      <c r="H8" s="27">
        <f t="shared" si="0"/>
        <v>4838.75</v>
      </c>
      <c r="I8" s="27">
        <f t="shared" si="1"/>
        <v>4147.5</v>
      </c>
      <c r="J8" s="38">
        <f t="shared" si="2"/>
        <v>22811.25</v>
      </c>
      <c r="Q8" s="34" t="s">
        <v>236</v>
      </c>
      <c r="R8" s="36" t="s">
        <v>315</v>
      </c>
    </row>
    <row r="9" spans="1:18" x14ac:dyDescent="0.25">
      <c r="A9" s="28">
        <v>8</v>
      </c>
      <c r="B9" s="20" t="s">
        <v>213</v>
      </c>
      <c r="C9" s="20" t="s">
        <v>15</v>
      </c>
      <c r="D9" s="20" t="s">
        <v>10</v>
      </c>
      <c r="E9" s="20" t="s">
        <v>52</v>
      </c>
      <c r="F9" s="21">
        <v>32755</v>
      </c>
      <c r="G9" s="22">
        <v>12425</v>
      </c>
      <c r="H9" s="27">
        <f t="shared" si="0"/>
        <v>4348.75</v>
      </c>
      <c r="I9" s="27">
        <f t="shared" si="1"/>
        <v>3727.5</v>
      </c>
      <c r="J9" s="38">
        <f t="shared" si="2"/>
        <v>20501.25</v>
      </c>
      <c r="R9" s="14"/>
    </row>
    <row r="10" spans="1:18" x14ac:dyDescent="0.25">
      <c r="A10" s="28">
        <v>9</v>
      </c>
      <c r="B10" s="20" t="s">
        <v>207</v>
      </c>
      <c r="C10" s="20" t="s">
        <v>28</v>
      </c>
      <c r="D10" s="20" t="s">
        <v>10</v>
      </c>
      <c r="E10" s="20" t="s">
        <v>157</v>
      </c>
      <c r="F10" s="21">
        <v>36506</v>
      </c>
      <c r="G10" s="22">
        <v>14875</v>
      </c>
      <c r="H10" s="27">
        <f t="shared" si="0"/>
        <v>5206.25</v>
      </c>
      <c r="I10" s="27">
        <f t="shared" si="1"/>
        <v>4462.5</v>
      </c>
      <c r="J10" s="38">
        <f t="shared" si="2"/>
        <v>24543.75</v>
      </c>
      <c r="Q10" s="34" t="s">
        <v>316</v>
      </c>
      <c r="R10" s="36"/>
    </row>
    <row r="11" spans="1:18" x14ac:dyDescent="0.25">
      <c r="A11" s="28">
        <v>10</v>
      </c>
      <c r="B11" s="20" t="s">
        <v>204</v>
      </c>
      <c r="C11" s="20" t="s">
        <v>22</v>
      </c>
      <c r="D11" s="20" t="s">
        <v>32</v>
      </c>
      <c r="E11" s="20" t="s">
        <v>78</v>
      </c>
      <c r="F11" s="21">
        <v>28326</v>
      </c>
      <c r="G11" s="22">
        <v>15750</v>
      </c>
      <c r="H11" s="27">
        <f t="shared" si="0"/>
        <v>5512.5</v>
      </c>
      <c r="I11" s="27">
        <f t="shared" si="1"/>
        <v>4725</v>
      </c>
      <c r="J11" s="38">
        <f t="shared" si="2"/>
        <v>25987.5</v>
      </c>
    </row>
    <row r="12" spans="1:18" x14ac:dyDescent="0.25">
      <c r="A12" s="28">
        <v>11</v>
      </c>
      <c r="B12" s="20" t="s">
        <v>201</v>
      </c>
      <c r="C12" s="20" t="s">
        <v>2</v>
      </c>
      <c r="D12" s="20" t="s">
        <v>6</v>
      </c>
      <c r="E12" s="20" t="s">
        <v>44</v>
      </c>
      <c r="F12" s="21">
        <v>31402</v>
      </c>
      <c r="G12" s="22">
        <v>14875</v>
      </c>
      <c r="H12" s="27">
        <f t="shared" si="0"/>
        <v>5206.25</v>
      </c>
      <c r="I12" s="27">
        <f t="shared" si="1"/>
        <v>4462.5</v>
      </c>
      <c r="J12" s="38">
        <f t="shared" si="2"/>
        <v>24543.75</v>
      </c>
    </row>
    <row r="13" spans="1:18" x14ac:dyDescent="0.25">
      <c r="I13" t="s">
        <v>322</v>
      </c>
      <c r="J13" s="59">
        <f>SUM(J2:J12)</f>
        <v>270270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Task</vt:lpstr>
      <vt:lpstr>cell reference</vt:lpstr>
      <vt:lpstr>Sheet1</vt:lpstr>
      <vt:lpstr>Named range</vt:lpstr>
      <vt:lpstr>Arithmetic Functions</vt:lpstr>
      <vt:lpstr>Operators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Satej Bhogate</cp:lastModifiedBy>
  <dcterms:created xsi:type="dcterms:W3CDTF">2015-06-05T18:17:20Z</dcterms:created>
  <dcterms:modified xsi:type="dcterms:W3CDTF">2025-08-05T04:07:40Z</dcterms:modified>
</cp:coreProperties>
</file>