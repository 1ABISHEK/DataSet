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8B597E83-75DA-480F-9780-963FF8ADF103}" xr6:coauthVersionLast="47" xr6:coauthVersionMax="47" xr10:uidLastSave="{00000000-0000-0000-0000-000000000000}"/>
  <bookViews>
    <workbookView xWindow="-120" yWindow="-120" windowWidth="20730" windowHeight="11040" tabRatio="838" firstSheet="1" activeTab="6" xr2:uid="{00000000-000D-0000-FFFF-FFFF00000000}"/>
  </bookViews>
  <sheets>
    <sheet name="Column-Bar Chart" sheetId="19" r:id="rId1"/>
    <sheet name="Line Chart" sheetId="20" r:id="rId2"/>
    <sheet name="Pie Chart" sheetId="24" r:id="rId3"/>
    <sheet name="Scatter plot" sheetId="10" r:id="rId4"/>
    <sheet name="Waterfall Chart" sheetId="25" r:id="rId5"/>
    <sheet name="Combo Chart" sheetId="22" r:id="rId6"/>
    <sheet name="Gantt Chart" sheetId="23" r:id="rId7"/>
  </sheets>
  <definedNames>
    <definedName name="_xlchart.v1.0" hidden="1">'Waterfall Chart'!$C$2:$C$9</definedName>
    <definedName name="_xlchart.v1.1" hidden="1">'Waterfall Chart'!$D$2:$D$9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3" l="1"/>
  <c r="D9" i="25"/>
  <c r="O5" i="24"/>
  <c r="L5" i="24"/>
  <c r="I5" i="24"/>
  <c r="D3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</calcChain>
</file>

<file path=xl/sharedStrings.xml><?xml version="1.0" encoding="utf-8"?>
<sst xmlns="http://schemas.openxmlformats.org/spreadsheetml/2006/main" count="106" uniqueCount="84">
  <si>
    <t>Month</t>
  </si>
  <si>
    <t>Product Quality Rating</t>
  </si>
  <si>
    <t>Tower No</t>
  </si>
  <si>
    <t>Client</t>
  </si>
  <si>
    <t>Avg Rating %</t>
  </si>
  <si>
    <t>Short</t>
  </si>
  <si>
    <t>Qty.</t>
  </si>
  <si>
    <t>Unit Price</t>
  </si>
  <si>
    <t>Location 1</t>
  </si>
  <si>
    <t>A</t>
  </si>
  <si>
    <t>Location 2</t>
  </si>
  <si>
    <t>B</t>
  </si>
  <si>
    <t>Location 3</t>
  </si>
  <si>
    <t>C</t>
  </si>
  <si>
    <t>Location 4</t>
  </si>
  <si>
    <t>Location 5</t>
  </si>
  <si>
    <t>E</t>
  </si>
  <si>
    <t>Location 6</t>
  </si>
  <si>
    <t>Location 7</t>
  </si>
  <si>
    <t>G</t>
  </si>
  <si>
    <t>Location 8</t>
  </si>
  <si>
    <t>H</t>
  </si>
  <si>
    <t>Location 9</t>
  </si>
  <si>
    <t>Location 10</t>
  </si>
  <si>
    <t>Location 11</t>
  </si>
  <si>
    <t>Location 12</t>
  </si>
  <si>
    <t>Location 13</t>
  </si>
  <si>
    <t>D</t>
  </si>
  <si>
    <t>Location 14</t>
  </si>
  <si>
    <t>Location 15</t>
  </si>
  <si>
    <t>Bears</t>
  </si>
  <si>
    <t>Dolphins</t>
  </si>
  <si>
    <t>Whales</t>
  </si>
  <si>
    <t>Rainy Days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</si>
  <si>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</si>
  <si>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</si>
  <si>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</si>
  <si>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</si>
  <si>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</si>
  <si>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</si>
  <si>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</si>
  <si>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</si>
  <si>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</si>
  <si>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</si>
  <si>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</si>
  <si>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</si>
  <si>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</si>
  <si>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Build a House</t>
  </si>
  <si>
    <t>Start Date</t>
  </si>
  <si>
    <t>Duration</t>
  </si>
  <si>
    <t>Foundation</t>
  </si>
  <si>
    <t>Walls</t>
  </si>
  <si>
    <t>Roof</t>
  </si>
  <si>
    <t>Windows, Doors</t>
  </si>
  <si>
    <t>Plumbing</t>
  </si>
  <si>
    <t>Electric</t>
  </si>
  <si>
    <t>Painting</t>
  </si>
  <si>
    <t>Flooring</t>
  </si>
  <si>
    <t>Column Chart</t>
  </si>
  <si>
    <t>Bar Chart</t>
  </si>
  <si>
    <t>Stacked Bar Chart</t>
  </si>
  <si>
    <t>CUSTOMER SATISFACTION</t>
  </si>
  <si>
    <t>East Region</t>
  </si>
  <si>
    <t>Satisfied</t>
  </si>
  <si>
    <t>Unsatisfied</t>
  </si>
  <si>
    <t>West Region</t>
  </si>
  <si>
    <t>South Region</t>
  </si>
  <si>
    <t>North Region</t>
  </si>
  <si>
    <t>Expenses</t>
  </si>
  <si>
    <t>Budget</t>
  </si>
  <si>
    <t>Actual</t>
  </si>
  <si>
    <t>Others</t>
  </si>
  <si>
    <t>Transport</t>
  </si>
  <si>
    <t>Marketing</t>
  </si>
  <si>
    <t>Staff</t>
  </si>
  <si>
    <t>Office management</t>
  </si>
  <si>
    <t>Employee Count</t>
  </si>
  <si>
    <t>2021 January</t>
  </si>
  <si>
    <t>New Hires</t>
  </si>
  <si>
    <t>Promotions</t>
  </si>
  <si>
    <t>Demotions</t>
  </si>
  <si>
    <t>layoffs</t>
  </si>
  <si>
    <t>Dpearture</t>
  </si>
  <si>
    <t>Total 2022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</si>
</sst>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d\-m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>
      <alignment wrapText="1"/>
    </xf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0" fontId="8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0" borderId="0" xfId="0" applyFont="1"/>
    <xf numFmtId="0" fontId="9" fillId="4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Border="1"/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0" fontId="3" fillId="0" borderId="0" xfId="0" applyFont="1" applyAlignment="1">
      <alignment vertical="center" readingOrder="1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2" fontId="0" fillId="0" borderId="0" xfId="0" applyNumberFormat="1"/>
    <xf numFmtId="2" fontId="11" fillId="0" borderId="1" xfId="0" applyNumberFormat="1" applyFont="1" applyBorder="1"/>
    <xf numFmtId="0" fontId="3" fillId="0" borderId="1" xfId="0" applyFont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</cellXfs>
  <cellStyles count="3">
    <cellStyle name="DarkBlue" xfId="2" xr:uid="{7830CBE0-29D0-4183-AF39-E29332CD697B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F2F2"/>
      <color rgb="FF203764"/>
      <color rgb="FFC6E6FA"/>
      <color rgb="FFD9D9D9"/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'Column-Bar Chart'!$B$2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'Column-Bar Chart'!$A$3:$A$7</c:f>
              <c:strCache>
                <c:ptCount val="5"/>
                <c:pt idx="0">
                  <c:v>Staff</c:v>
                </c:pt>
                <c:pt idx="1">
                  <c:v>Office management</c:v>
                </c:pt>
                <c:pt idx="2">
                  <c:v>Marketing</c:v>
                </c:pt>
                <c:pt idx="3">
                  <c:v>Transport</c:v>
                </c:pt>
                <c:pt idx="4">
                  <c:v>Others</c:v>
                </c:pt>
              </c:strCache>
            </c:strRef>
          </c:cat>
          <c:val>
            <c:numRef>
              <c:f>'Column-Bar Chart'!$B$3:$B$7</c:f>
              <c:numCache>
                <c:formatCode>General</c:formatCode>
                <c:ptCount val="5"/>
                <c:pt idx="0">
                  <c:v>500</c:v>
                </c:pt>
                <c:pt idx="1">
                  <c:v>112</c:v>
                </c:pt>
                <c:pt idx="2">
                  <c:v>310</c:v>
                </c:pt>
                <c:pt idx="3">
                  <c:v>240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8-4CA1-BB4A-445F000A4C7F}"/>
            </c:ext>
          </c:extLst>
        </c:ser>
        <c:ser>
          <c:idx val="1"/>
          <c:order val="1"/>
          <c:tx>
            <c:strRef>
              <c:f>'Column-Bar Chart'!$C$2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'Column-Bar Chart'!$A$3:$A$7</c:f>
              <c:strCache>
                <c:ptCount val="5"/>
                <c:pt idx="0">
                  <c:v>Staff</c:v>
                </c:pt>
                <c:pt idx="1">
                  <c:v>Office management</c:v>
                </c:pt>
                <c:pt idx="2">
                  <c:v>Marketing</c:v>
                </c:pt>
                <c:pt idx="3">
                  <c:v>Transport</c:v>
                </c:pt>
                <c:pt idx="4">
                  <c:v>Others</c:v>
                </c:pt>
              </c:strCache>
            </c:strRef>
          </c:cat>
          <c:val>
            <c:numRef>
              <c:f>'Column-Bar Chart'!$C$3:$C$7</c:f>
              <c:numCache>
                <c:formatCode>General</c:formatCode>
                <c:ptCount val="5"/>
                <c:pt idx="0">
                  <c:v>480</c:v>
                </c:pt>
                <c:pt idx="1">
                  <c:v>50</c:v>
                </c:pt>
                <c:pt idx="2">
                  <c:v>400</c:v>
                </c:pt>
                <c:pt idx="3">
                  <c:v>100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08-4CA1-BB4A-445F000A4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9446464"/>
        <c:axId val="419472864"/>
      </c:barChart>
      <c:catAx>
        <c:axId val="41944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72864"/>
        <c:crosses val="autoZero"/>
        <c:auto val="1"/>
        <c:lblAlgn val="ctr"/>
        <c:lblOffset val="100"/>
        <c:noMultiLvlLbl val="0"/>
      </c:catAx>
      <c:valAx>
        <c:axId val="41947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4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'Column-Bar Chart'!$B$2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'Column-Bar Chart'!$A$3:$A$7</c:f>
              <c:strCache>
                <c:ptCount val="5"/>
                <c:pt idx="0">
                  <c:v>Staff</c:v>
                </c:pt>
                <c:pt idx="1">
                  <c:v>Office management</c:v>
                </c:pt>
                <c:pt idx="2">
                  <c:v>Marketing</c:v>
                </c:pt>
                <c:pt idx="3">
                  <c:v>Transport</c:v>
                </c:pt>
                <c:pt idx="4">
                  <c:v>Others</c:v>
                </c:pt>
              </c:strCache>
            </c:strRef>
          </c:cat>
          <c:val>
            <c:numRef>
              <c:f>'Column-Bar Chart'!$B$3:$B$7</c:f>
              <c:numCache>
                <c:formatCode>General</c:formatCode>
                <c:ptCount val="5"/>
                <c:pt idx="0">
                  <c:v>500</c:v>
                </c:pt>
                <c:pt idx="1">
                  <c:v>112</c:v>
                </c:pt>
                <c:pt idx="2">
                  <c:v>310</c:v>
                </c:pt>
                <c:pt idx="3">
                  <c:v>240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8-4B78-9D21-E8C92B8A6592}"/>
            </c:ext>
          </c:extLst>
        </c:ser>
        <c:ser>
          <c:idx val="1"/>
          <c:order val="1"/>
          <c:tx>
            <c:strRef>
              <c:f>'Column-Bar Chart'!$C$2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'Column-Bar Chart'!$A$3:$A$7</c:f>
              <c:strCache>
                <c:ptCount val="5"/>
                <c:pt idx="0">
                  <c:v>Staff</c:v>
                </c:pt>
                <c:pt idx="1">
                  <c:v>Office management</c:v>
                </c:pt>
                <c:pt idx="2">
                  <c:v>Marketing</c:v>
                </c:pt>
                <c:pt idx="3">
                  <c:v>Transport</c:v>
                </c:pt>
                <c:pt idx="4">
                  <c:v>Others</c:v>
                </c:pt>
              </c:strCache>
            </c:strRef>
          </c:cat>
          <c:val>
            <c:numRef>
              <c:f>'Column-Bar Chart'!$C$3:$C$7</c:f>
              <c:numCache>
                <c:formatCode>General</c:formatCode>
                <c:ptCount val="5"/>
                <c:pt idx="0">
                  <c:v>480</c:v>
                </c:pt>
                <c:pt idx="1">
                  <c:v>50</c:v>
                </c:pt>
                <c:pt idx="2">
                  <c:v>400</c:v>
                </c:pt>
                <c:pt idx="3">
                  <c:v>100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8-4B78-9D21-E8C92B8A6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492544"/>
        <c:axId val="419481504"/>
      </c:barChart>
      <c:catAx>
        <c:axId val="4194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81504"/>
        <c:crosses val="autoZero"/>
        <c:auto val="1"/>
        <c:lblAlgn val="ctr"/>
        <c:lblOffset val="100"/>
        <c:noMultiLvlLbl val="0"/>
      </c:catAx>
      <c:valAx>
        <c:axId val="41948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'Column-Bar Chart'!$B$2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'Column-Bar Chart'!$A$3:$A$7</c:f>
              <c:strCache>
                <c:ptCount val="5"/>
                <c:pt idx="0">
                  <c:v>Staff</c:v>
                </c:pt>
                <c:pt idx="1">
                  <c:v>Office management</c:v>
                </c:pt>
                <c:pt idx="2">
                  <c:v>Marketing</c:v>
                </c:pt>
                <c:pt idx="3">
                  <c:v>Transport</c:v>
                </c:pt>
                <c:pt idx="4">
                  <c:v>Others</c:v>
                </c:pt>
              </c:strCache>
            </c:strRef>
          </c:cat>
          <c:val>
            <c:numRef>
              <c:f>'Column-Bar Chart'!$B$3:$B$7</c:f>
              <c:numCache>
                <c:formatCode>General</c:formatCode>
                <c:ptCount val="5"/>
                <c:pt idx="0">
                  <c:v>500</c:v>
                </c:pt>
                <c:pt idx="1">
                  <c:v>112</c:v>
                </c:pt>
                <c:pt idx="2">
                  <c:v>310</c:v>
                </c:pt>
                <c:pt idx="3">
                  <c:v>240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D-4F71-896C-28F084BA0067}"/>
            </c:ext>
          </c:extLst>
        </c:ser>
        <c:ser>
          <c:idx val="1"/>
          <c:order val="1"/>
          <c:tx>
            <c:strRef>
              <c:f>'Column-Bar Chart'!$C$2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'Column-Bar Chart'!$A$3:$A$7</c:f>
              <c:strCache>
                <c:ptCount val="5"/>
                <c:pt idx="0">
                  <c:v>Staff</c:v>
                </c:pt>
                <c:pt idx="1">
                  <c:v>Office management</c:v>
                </c:pt>
                <c:pt idx="2">
                  <c:v>Marketing</c:v>
                </c:pt>
                <c:pt idx="3">
                  <c:v>Transport</c:v>
                </c:pt>
                <c:pt idx="4">
                  <c:v>Others</c:v>
                </c:pt>
              </c:strCache>
            </c:strRef>
          </c:cat>
          <c:val>
            <c:numRef>
              <c:f>'Column-Bar Chart'!$C$3:$C$7</c:f>
              <c:numCache>
                <c:formatCode>General</c:formatCode>
                <c:ptCount val="5"/>
                <c:pt idx="0">
                  <c:v>480</c:v>
                </c:pt>
                <c:pt idx="1">
                  <c:v>50</c:v>
                </c:pt>
                <c:pt idx="2">
                  <c:v>400</c:v>
                </c:pt>
                <c:pt idx="3">
                  <c:v>100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1D-4F71-896C-28F084BA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470464"/>
        <c:axId val="419461344"/>
      </c:barChart>
      <c:catAx>
        <c:axId val="4194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61344"/>
        <c:crosses val="autoZero"/>
        <c:auto val="1"/>
        <c:lblAlgn val="ctr"/>
        <c:lblOffset val="100"/>
        <c:noMultiLvlLbl val="0"/>
      </c:catAx>
      <c:valAx>
        <c:axId val="4194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7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'Column-Bar Chart'!$B$11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'Column-Bar Chart'!$A$12:$A$17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'Column-Bar Chart'!$B$12:$B$17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D-4BB2-AA02-38B3C7D94CCB}"/>
            </c:ext>
          </c:extLst>
        </c:ser>
        <c:ser>
          <c:idx val="1"/>
          <c:order val="1"/>
          <c:tx>
            <c:strRef>
              <c:f>'Column-Bar Chart'!$C$11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'Column-Bar Chart'!$A$12:$A$17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'Column-Bar Chart'!$C$12:$C$17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D-4BB2-AA02-38B3C7D94CCB}"/>
            </c:ext>
          </c:extLst>
        </c:ser>
        <c:ser>
          <c:idx val="2"/>
          <c:order val="2"/>
          <c:tx>
            <c:strRef>
              <c:f>'Column-Bar Chart'!$D$11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'Column-Bar Chart'!$A$12:$A$17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'Column-Bar Chart'!$D$12:$D$17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D-4BB2-AA02-38B3C7D94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481984"/>
        <c:axId val="419499264"/>
      </c:barChart>
      <c:catAx>
        <c:axId val="41948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99264"/>
        <c:crosses val="autoZero"/>
        <c:auto val="1"/>
        <c:lblAlgn val="ctr"/>
        <c:lblOffset val="100"/>
        <c:noMultiLvlLbl val="0"/>
      </c:catAx>
      <c:valAx>
        <c:axId val="4194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8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Chart'!$A$2:$A$7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'Line Chart'!$B$2:$B$7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5-46AD-ACE6-E6D4D0D0A567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Dolphins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Chart'!$A$2:$A$7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'Line Chart'!$C$2:$C$7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5-46AD-ACE6-E6D4D0D0A567}"/>
            </c:ext>
          </c:extLst>
        </c:ser>
        <c:ser>
          <c:idx val="2"/>
          <c:order val="2"/>
          <c:tx>
            <c:strRef>
              <c:f>'Line Chart'!$D$1</c:f>
              <c:strCache>
                <c:ptCount val="1"/>
                <c:pt idx="0">
                  <c:v>Whales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'Line Chart'!$A$2:$A$7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'Line Chart'!$D$2:$D$7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85-46AD-ACE6-E6D4D0D0A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490144"/>
        <c:axId val="419502144"/>
      </c:lineChart>
      <c:catAx>
        <c:axId val="4194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02144"/>
        <c:crosses val="autoZero"/>
        <c:auto val="1"/>
        <c:lblAlgn val="ctr"/>
        <c:lblOffset val="100"/>
        <c:noMultiLvlLbl val="0"/>
      </c:catAx>
      <c:valAx>
        <c:axId val="4195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9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Chart'!$A$2:$A$7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'Line Chart'!$B$2:$B$7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7-499E-9843-B6485D85E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448864"/>
        <c:axId val="419466624"/>
      </c:lineChart>
      <c:catAx>
        <c:axId val="4194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66624"/>
        <c:crosses val="autoZero"/>
        <c:auto val="1"/>
        <c:lblAlgn val="ctr"/>
        <c:lblOffset val="100"/>
        <c:noMultiLvlLbl val="0"/>
      </c:catAx>
      <c:valAx>
        <c:axId val="4194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4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Chart'!$F$3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Chart'!$E$4:$E$5</c:f>
              <c:strCache>
                <c:ptCount val="2"/>
                <c:pt idx="0">
                  <c:v>Satisfied</c:v>
                </c:pt>
                <c:pt idx="1">
                  <c:v>Unsatisfied</c:v>
                </c:pt>
              </c:strCache>
            </c:strRef>
          </c:cat>
          <c:val>
            <c:numRef>
              <c:f>'Pie Chart'!$F$4:$F$5</c:f>
              <c:numCache>
                <c:formatCode>0.00</c:formatCode>
                <c:ptCount val="2"/>
                <c:pt idx="0">
                  <c:v>500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A-45F3-A296-9A12E49D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plot'!$G$2</c:f>
              <c:strCache>
                <c:ptCount val="1"/>
                <c:pt idx="0">
                  <c:v>Unit 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plot'!$F$3:$F$17</c:f>
              <c:numCache>
                <c:formatCode>General</c:formatCode>
                <c:ptCount val="15"/>
                <c:pt idx="0">
                  <c:v>157</c:v>
                </c:pt>
                <c:pt idx="1">
                  <c:v>168</c:v>
                </c:pt>
                <c:pt idx="2">
                  <c:v>191</c:v>
                </c:pt>
                <c:pt idx="3">
                  <c:v>184</c:v>
                </c:pt>
                <c:pt idx="4">
                  <c:v>169</c:v>
                </c:pt>
                <c:pt idx="5">
                  <c:v>114</c:v>
                </c:pt>
                <c:pt idx="6">
                  <c:v>232</c:v>
                </c:pt>
                <c:pt idx="7">
                  <c:v>177</c:v>
                </c:pt>
                <c:pt idx="8">
                  <c:v>214</c:v>
                </c:pt>
                <c:pt idx="9">
                  <c:v>257</c:v>
                </c:pt>
                <c:pt idx="10">
                  <c:v>242</c:v>
                </c:pt>
                <c:pt idx="11">
                  <c:v>210</c:v>
                </c:pt>
                <c:pt idx="12">
                  <c:v>200</c:v>
                </c:pt>
                <c:pt idx="13">
                  <c:v>180</c:v>
                </c:pt>
                <c:pt idx="14">
                  <c:v>164</c:v>
                </c:pt>
              </c:numCache>
            </c:numRef>
          </c:xVal>
          <c:yVal>
            <c:numRef>
              <c:f>'Scatter plot'!$G$3:$G$17</c:f>
              <c:numCache>
                <c:formatCode>General</c:formatCode>
                <c:ptCount val="15"/>
                <c:pt idx="0">
                  <c:v>197</c:v>
                </c:pt>
                <c:pt idx="1">
                  <c:v>193</c:v>
                </c:pt>
                <c:pt idx="2">
                  <c:v>233</c:v>
                </c:pt>
                <c:pt idx="3">
                  <c:v>161</c:v>
                </c:pt>
                <c:pt idx="4">
                  <c:v>186</c:v>
                </c:pt>
                <c:pt idx="5">
                  <c:v>142</c:v>
                </c:pt>
                <c:pt idx="6">
                  <c:v>179</c:v>
                </c:pt>
                <c:pt idx="7">
                  <c:v>136</c:v>
                </c:pt>
                <c:pt idx="8">
                  <c:v>206</c:v>
                </c:pt>
                <c:pt idx="9">
                  <c:v>214</c:v>
                </c:pt>
                <c:pt idx="10">
                  <c:v>201</c:v>
                </c:pt>
                <c:pt idx="11">
                  <c:v>133</c:v>
                </c:pt>
                <c:pt idx="12">
                  <c:v>191</c:v>
                </c:pt>
                <c:pt idx="13">
                  <c:v>189</c:v>
                </c:pt>
                <c:pt idx="14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1-4DE6-8E76-19F3A630BC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9500704"/>
        <c:axId val="419493504"/>
      </c:scatterChart>
      <c:valAx>
        <c:axId val="41950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93504"/>
        <c:crosses val="autoZero"/>
        <c:crossBetween val="midCat"/>
      </c:valAx>
      <c:valAx>
        <c:axId val="4194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0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Rainy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C-4333-BF19-B4EA8E30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491104"/>
        <c:axId val="419485344"/>
      </c:barChart>
      <c:lineChart>
        <c:grouping val="standard"/>
        <c:varyColors val="0"/>
        <c:ser>
          <c:idx val="1"/>
          <c:order val="1"/>
          <c:tx>
            <c:strRef>
              <c:f>'Combo Chart'!$C$1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Chart'!$C$2:$C$13</c:f>
              <c:numCache>
                <c:formatCode>"$"#,##0</c:formatCode>
                <c:ptCount val="12"/>
                <c:pt idx="0">
                  <c:v>3574</c:v>
                </c:pt>
                <c:pt idx="1">
                  <c:v>4708</c:v>
                </c:pt>
                <c:pt idx="2">
                  <c:v>5332</c:v>
                </c:pt>
                <c:pt idx="3">
                  <c:v>6693</c:v>
                </c:pt>
                <c:pt idx="4">
                  <c:v>8843</c:v>
                </c:pt>
                <c:pt idx="5">
                  <c:v>12347</c:v>
                </c:pt>
                <c:pt idx="6">
                  <c:v>15180</c:v>
                </c:pt>
                <c:pt idx="7">
                  <c:v>11198</c:v>
                </c:pt>
                <c:pt idx="8">
                  <c:v>9739</c:v>
                </c:pt>
                <c:pt idx="9">
                  <c:v>9846</c:v>
                </c:pt>
                <c:pt idx="10">
                  <c:v>6620</c:v>
                </c:pt>
                <c:pt idx="11">
                  <c:v>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C-4333-BF19-B4EA8E30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483424"/>
        <c:axId val="419503584"/>
      </c:lineChart>
      <c:catAx>
        <c:axId val="4194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03584"/>
        <c:crosses val="autoZero"/>
        <c:auto val="1"/>
        <c:lblAlgn val="ctr"/>
        <c:lblOffset val="100"/>
        <c:noMultiLvlLbl val="0"/>
      </c:catAx>
      <c:valAx>
        <c:axId val="4195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83424"/>
        <c:crosses val="autoZero"/>
        <c:crossBetween val="between"/>
      </c:valAx>
      <c:valAx>
        <c:axId val="419485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91104"/>
        <c:crosses val="max"/>
        <c:crossBetween val="between"/>
      </c:valAx>
      <c:catAx>
        <c:axId val="419491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94853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Chart'!$B$3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Chart'!$A$4:$A$11</c:f>
              <c:strCache>
                <c:ptCount val="8"/>
                <c:pt idx="0">
                  <c:v>Foundation</c:v>
                </c:pt>
                <c:pt idx="1">
                  <c:v>Walls</c:v>
                </c:pt>
                <c:pt idx="2">
                  <c:v>Roof</c:v>
                </c:pt>
                <c:pt idx="3">
                  <c:v>Windows, Doors</c:v>
                </c:pt>
                <c:pt idx="4">
                  <c:v>Plumbing</c:v>
                </c:pt>
                <c:pt idx="5">
                  <c:v>Electric</c:v>
                </c:pt>
                <c:pt idx="6">
                  <c:v>Painting</c:v>
                </c:pt>
                <c:pt idx="7">
                  <c:v>Flooring</c:v>
                </c:pt>
              </c:strCache>
            </c:strRef>
          </c:cat>
          <c:val>
            <c:numRef>
              <c:f>'Gantt Chart'!$B$4:$B$11</c:f>
              <c:numCache>
                <c:formatCode>[$-409]d\-mmm;@</c:formatCode>
                <c:ptCount val="8"/>
                <c:pt idx="0">
                  <c:v>42887</c:v>
                </c:pt>
                <c:pt idx="1">
                  <c:v>42898</c:v>
                </c:pt>
                <c:pt idx="2">
                  <c:v>42906</c:v>
                </c:pt>
                <c:pt idx="3">
                  <c:v>42917</c:v>
                </c:pt>
                <c:pt idx="4">
                  <c:v>42923</c:v>
                </c:pt>
                <c:pt idx="5">
                  <c:v>42923</c:v>
                </c:pt>
                <c:pt idx="6">
                  <c:v>42927</c:v>
                </c:pt>
                <c:pt idx="7">
                  <c:v>42929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C-49AC-B291-4CF176A221EA}"/>
            </c:ext>
          </c:extLst>
        </c:ser>
        <c:ser>
          <c:idx val="1"/>
          <c:order val="1"/>
          <c:tx>
            <c:strRef>
              <c:f>'Gantt Chart'!$C$3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Chart'!$A$4:$A$11</c:f>
              <c:strCache>
                <c:ptCount val="8"/>
                <c:pt idx="0">
                  <c:v>Foundation</c:v>
                </c:pt>
                <c:pt idx="1">
                  <c:v>Walls</c:v>
                </c:pt>
                <c:pt idx="2">
                  <c:v>Roof</c:v>
                </c:pt>
                <c:pt idx="3">
                  <c:v>Windows, Doors</c:v>
                </c:pt>
                <c:pt idx="4">
                  <c:v>Plumbing</c:v>
                </c:pt>
                <c:pt idx="5">
                  <c:v>Electric</c:v>
                </c:pt>
                <c:pt idx="6">
                  <c:v>Painting</c:v>
                </c:pt>
                <c:pt idx="7">
                  <c:v>Flooring</c:v>
                </c:pt>
              </c:strCache>
            </c:strRef>
          </c:cat>
          <c:val>
            <c:numRef>
              <c:f>'Gantt Chart'!$C$4:$C$11</c:f>
              <c:numCache>
                <c:formatCode>General</c:formatCode>
                <c:ptCount val="8"/>
                <c:pt idx="0">
                  <c:v>10</c:v>
                </c:pt>
                <c:pt idx="1">
                  <c:v>7</c:v>
                </c:pt>
                <c:pt idx="2">
                  <c:v>10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C-49AC-B291-4CF176A22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522304"/>
        <c:axId val="419535264"/>
      </c:barChart>
      <c:catAx>
        <c:axId val="419522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264"/>
        <c:crosses val="autoZero"/>
        <c:auto val="1"/>
        <c:lblAlgn val="ctr"/>
        <c:lblOffset val="100"/>
        <c:noMultiLvlLbl val="0"/>
      </c:catAx>
      <c:valAx>
        <c:axId val="419535264"/>
        <c:scaling>
          <c:orientation val="minMax"/>
          <c:min val="4288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2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54E6CF02-8708-4AB3-8739-C33744AB9EC4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117231</xdr:colOff>
      <xdr:row>0</xdr:row>
      <xdr:rowOff>0</xdr:rowOff>
    </xdr:from>
    <xdr:to>
      <xdr:col>13</xdr:col>
      <xdr:colOff>245452</xdr:colOff>
      <xdr:row>9</xdr:row>
      <xdr:rowOff>8793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CB18B-4357-EA7C-3ACD-5F1E30725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468923</xdr:colOff>
      <xdr:row>0</xdr:row>
      <xdr:rowOff>0</xdr:rowOff>
    </xdr:from>
    <xdr:to>
      <xdr:col>18</xdr:col>
      <xdr:colOff>326047</xdr:colOff>
      <xdr:row>8</xdr:row>
      <xdr:rowOff>126023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6A6A52-F865-A4A2-CC5C-8A60B778B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490903</xdr:colOff>
      <xdr:row>0</xdr:row>
      <xdr:rowOff>0</xdr:rowOff>
    </xdr:from>
    <xdr:to>
      <xdr:col>23</xdr:col>
      <xdr:colOff>216143</xdr:colOff>
      <xdr:row>9</xdr:row>
      <xdr:rowOff>45427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467460-E05B-A105-D510-1B8E70DE0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9</xdr:row>
      <xdr:rowOff>161193</xdr:rowOff>
    </xdr:from>
    <xdr:to>
      <xdr:col>11</xdr:col>
      <xdr:colOff>545855</xdr:colOff>
      <xdr:row>18</xdr:row>
      <xdr:rowOff>82062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C395A9-052D-C69F-A8A0-6CFA95E92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590549</xdr:colOff>
      <xdr:row>1</xdr:row>
      <xdr:rowOff>0</xdr:rowOff>
    </xdr:from>
    <xdr:to>
      <xdr:col>16</xdr:col>
      <xdr:colOff>123824</xdr:colOff>
      <xdr:row>11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A82A6-8349-968B-591C-B710BC541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428624</xdr:colOff>
      <xdr:row>0</xdr:row>
      <xdr:rowOff>200024</xdr:rowOff>
    </xdr:from>
    <xdr:to>
      <xdr:col>10</xdr:col>
      <xdr:colOff>380999</xdr:colOff>
      <xdr:row>10</xdr:row>
      <xdr:rowOff>128586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AA790-3D3E-9F37-7E69-4CAC86D83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7</xdr:row>
      <xdr:rowOff>133349</xdr:rowOff>
    </xdr:from>
    <xdr:to>
      <xdr:col>6</xdr:col>
      <xdr:colOff>885825</xdr:colOff>
      <xdr:row>16</xdr:row>
      <xdr:rowOff>14286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0EDA3-1727-DC0F-AB44-767FF64F0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0</xdr:row>
      <xdr:rowOff>157162</xdr:rowOff>
    </xdr:from>
    <xdr:to>
      <xdr:col>15</xdr:col>
      <xdr:colOff>47625</xdr:colOff>
      <xdr:row>13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E090E-BE3A-BFA9-86BE-83512D33E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13</xdr:col>
      <xdr:colOff>447675</xdr:colOff>
      <xdr:row>17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67B2F82-0432-26F3-C246-1D977F10FF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661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3</xdr:row>
      <xdr:rowOff>90487</xdr:rowOff>
    </xdr:from>
    <xdr:to>
      <xdr:col>14</xdr:col>
      <xdr:colOff>38100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BEF23F-B6F8-C32C-ADE7-1D7375013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198782</xdr:colOff>
      <xdr:row>1</xdr:row>
      <xdr:rowOff>144117</xdr:rowOff>
    </xdr:from>
    <xdr:to>
      <xdr:col>11</xdr:col>
      <xdr:colOff>480391</xdr:colOff>
      <xdr:row>16</xdr:row>
      <xdr:rowOff>29817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3ABE5-ACF8-8A72-3685-AF27CC9DD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30C7-4394-45FC-B6A6-132EE4326C88}">
  <sheetPr codeName="Sheet1"/>
  <dimension ref="A1:G17"/>
  <sheetViews>
    <sheetView topLeftCell="A5" zoomScale="130" zoomScaleNormal="130" workbookViewId="0">
      <selection activeCell="G18" sqref="G18"/>
    </sheetView>
  </sheetViews>
  <sheetFormatPr defaultRowHeight="15" x14ac:dyDescent="0.25"/>
  <cols>
    <col min="1" max="1" width="18" bestFit="1" customWidth="1"/>
    <col min="3" max="4" width="9.28515625" customWidth="1"/>
  </cols>
  <sheetData>
    <row r="1" spans="1:7" ht="18.75" x14ac:dyDescent="0.25">
      <c r="B1" s="25" t="s">
        <v>68</v>
      </c>
      <c r="C1" s="25"/>
      <c r="D1" s="19"/>
      <c r="F1" s="6" t="s">
        <v>58</v>
      </c>
      <c r="G1" s="6"/>
    </row>
    <row r="2" spans="1:7" ht="15.75" x14ac:dyDescent="0.25">
      <c r="A2" s="20"/>
      <c r="B2" s="18" t="s">
        <v>69</v>
      </c>
      <c r="C2" s="18" t="s">
        <v>70</v>
      </c>
      <c r="F2" s="7" t="s">
        <v>59</v>
      </c>
      <c r="G2" s="6"/>
    </row>
    <row r="3" spans="1:7" ht="15.75" x14ac:dyDescent="0.25">
      <c r="A3" s="21" t="s">
        <v>74</v>
      </c>
      <c r="B3" s="1">
        <v>500</v>
      </c>
      <c r="C3" s="1">
        <v>480</v>
      </c>
      <c r="F3" s="6" t="s">
        <v>60</v>
      </c>
      <c r="G3" s="6"/>
    </row>
    <row r="4" spans="1:7" x14ac:dyDescent="0.25">
      <c r="A4" s="21" t="s">
        <v>75</v>
      </c>
      <c r="B4" s="1">
        <v>112</v>
      </c>
      <c r="C4" s="1">
        <v>50</v>
      </c>
    </row>
    <row r="5" spans="1:7" x14ac:dyDescent="0.25">
      <c r="A5" s="21" t="s">
        <v>73</v>
      </c>
      <c r="B5" s="1">
        <v>310</v>
      </c>
      <c r="C5" s="1">
        <v>400</v>
      </c>
    </row>
    <row r="6" spans="1:7" x14ac:dyDescent="0.25">
      <c r="A6" s="21" t="s">
        <v>72</v>
      </c>
      <c r="B6" s="1">
        <v>240</v>
      </c>
      <c r="C6" s="1">
        <v>100</v>
      </c>
    </row>
    <row r="7" spans="1:7" x14ac:dyDescent="0.25">
      <c r="A7" s="21" t="s">
        <v>71</v>
      </c>
      <c r="B7" s="1">
        <v>145</v>
      </c>
      <c r="C7" s="1">
        <v>160</v>
      </c>
    </row>
    <row r="11" spans="1:7" ht="15.75" x14ac:dyDescent="0.25">
      <c r="A11" s="10"/>
      <c r="B11" s="10" t="s">
        <v>30</v>
      </c>
      <c r="C11" s="10" t="s">
        <v>31</v>
      </c>
      <c r="D11" s="10" t="s">
        <v>32</v>
      </c>
      <c r="F11" t="s">
        <v>58</v>
      </c>
    </row>
    <row r="12" spans="1:7" x14ac:dyDescent="0.25">
      <c r="A12" s="1">
        <v>2017</v>
      </c>
      <c r="B12" s="1">
        <v>8</v>
      </c>
      <c r="C12" s="1">
        <v>150</v>
      </c>
      <c r="D12" s="1">
        <v>80</v>
      </c>
    </row>
    <row r="13" spans="1:7" x14ac:dyDescent="0.25">
      <c r="A13" s="1">
        <v>2018</v>
      </c>
      <c r="B13" s="1">
        <v>54</v>
      </c>
      <c r="C13" s="1">
        <v>77</v>
      </c>
      <c r="D13" s="1">
        <v>54</v>
      </c>
    </row>
    <row r="14" spans="1:7" x14ac:dyDescent="0.25">
      <c r="A14" s="1">
        <v>2019</v>
      </c>
      <c r="B14" s="1">
        <v>93</v>
      </c>
      <c r="C14" s="1">
        <v>32</v>
      </c>
      <c r="D14" s="1">
        <v>100</v>
      </c>
    </row>
    <row r="15" spans="1:7" x14ac:dyDescent="0.25">
      <c r="A15" s="1">
        <v>2020</v>
      </c>
      <c r="B15" s="1">
        <v>116</v>
      </c>
      <c r="C15" s="1">
        <v>11</v>
      </c>
      <c r="D15" s="1">
        <v>76</v>
      </c>
    </row>
    <row r="16" spans="1:7" x14ac:dyDescent="0.25">
      <c r="A16" s="1">
        <v>2021</v>
      </c>
      <c r="B16" s="1">
        <v>137</v>
      </c>
      <c r="C16" s="1">
        <v>6</v>
      </c>
      <c r="D16" s="1">
        <v>93</v>
      </c>
    </row>
    <row r="17" spans="1:4" x14ac:dyDescent="0.25">
      <c r="A17" s="1">
        <v>2022</v>
      </c>
      <c r="B17" s="1">
        <v>184</v>
      </c>
      <c r="C17" s="1">
        <v>1</v>
      </c>
      <c r="D17" s="1">
        <v>72</v>
      </c>
    </row>
  </sheetData>
  <mergeCells count="1">
    <mergeCell ref="B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98AE-2990-4D86-9F59-68CCD58AB4B3}">
  <sheetPr codeName="Sheet2"/>
  <dimension ref="A1:D7"/>
  <sheetViews>
    <sheetView workbookViewId="0">
      <selection activeCell="F17" sqref="F17"/>
    </sheetView>
  </sheetViews>
  <sheetFormatPr defaultRowHeight="15" x14ac:dyDescent="0.25"/>
  <cols>
    <col min="3" max="4" width="9.28515625" customWidth="1"/>
  </cols>
  <sheetData>
    <row r="1" spans="1:4" ht="15.75" x14ac:dyDescent="0.25">
      <c r="A1" s="10"/>
      <c r="B1" s="10" t="s">
        <v>30</v>
      </c>
      <c r="C1" s="10" t="s">
        <v>31</v>
      </c>
      <c r="D1" s="10" t="s">
        <v>32</v>
      </c>
    </row>
    <row r="2" spans="1:4" x14ac:dyDescent="0.25">
      <c r="A2" s="1">
        <v>2017</v>
      </c>
      <c r="B2" s="1">
        <v>80</v>
      </c>
      <c r="C2" s="1">
        <v>150</v>
      </c>
      <c r="D2" s="1">
        <v>80</v>
      </c>
    </row>
    <row r="3" spans="1:4" x14ac:dyDescent="0.25">
      <c r="A3" s="1">
        <v>2018</v>
      </c>
      <c r="B3" s="1">
        <v>54</v>
      </c>
      <c r="C3" s="1">
        <v>77</v>
      </c>
      <c r="D3" s="1">
        <v>54</v>
      </c>
    </row>
    <row r="4" spans="1:4" x14ac:dyDescent="0.25">
      <c r="A4" s="1">
        <v>2019</v>
      </c>
      <c r="B4" s="1">
        <v>93</v>
      </c>
      <c r="C4" s="1">
        <v>32</v>
      </c>
      <c r="D4" s="1">
        <v>100</v>
      </c>
    </row>
    <row r="5" spans="1:4" x14ac:dyDescent="0.25">
      <c r="A5" s="1">
        <v>2020</v>
      </c>
      <c r="B5" s="1">
        <v>116</v>
      </c>
      <c r="C5" s="1">
        <v>11</v>
      </c>
      <c r="D5" s="1">
        <v>76</v>
      </c>
    </row>
    <row r="6" spans="1:4" x14ac:dyDescent="0.25">
      <c r="A6" s="1">
        <v>2021</v>
      </c>
      <c r="B6" s="1">
        <v>137</v>
      </c>
      <c r="C6" s="1">
        <v>6</v>
      </c>
      <c r="D6" s="1">
        <v>93</v>
      </c>
    </row>
    <row r="7" spans="1:4" x14ac:dyDescent="0.25">
      <c r="A7" s="1">
        <v>2022</v>
      </c>
      <c r="B7" s="1">
        <v>184</v>
      </c>
      <c r="C7" s="1">
        <v>1</v>
      </c>
      <c r="D7" s="1">
        <v>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3F70-F61A-45D6-BEB5-1D31CAE76592}">
  <sheetPr codeName="Sheet3"/>
  <dimension ref="E1:O5"/>
  <sheetViews>
    <sheetView showGridLines="0" topLeftCell="E1" workbookViewId="0">
      <selection activeCell="F5" sqref="F5"/>
    </sheetView>
  </sheetViews>
  <sheetFormatPr defaultColWidth="18.42578125" defaultRowHeight="15" x14ac:dyDescent="0.25"/>
  <cols>
    <col min="6" max="6" width="9.42578125" bestFit="1" customWidth="1"/>
    <col min="9" max="9" width="6.140625" bestFit="1" customWidth="1"/>
    <col min="12" max="12" width="6.140625" bestFit="1" customWidth="1"/>
    <col min="15" max="15" width="5.42578125" bestFit="1" customWidth="1"/>
  </cols>
  <sheetData>
    <row r="1" spans="5:15" ht="28.5" x14ac:dyDescent="0.45">
      <c r="H1" s="28" t="s">
        <v>61</v>
      </c>
      <c r="I1" s="28"/>
      <c r="J1" s="28"/>
      <c r="K1" s="28"/>
    </row>
    <row r="3" spans="5:15" ht="18.75" x14ac:dyDescent="0.3">
      <c r="E3" s="26" t="s">
        <v>62</v>
      </c>
      <c r="F3" s="27"/>
      <c r="H3" s="26" t="s">
        <v>65</v>
      </c>
      <c r="I3" s="27" t="s">
        <v>65</v>
      </c>
      <c r="K3" s="26" t="s">
        <v>67</v>
      </c>
      <c r="L3" s="27" t="s">
        <v>66</v>
      </c>
      <c r="N3" s="26" t="s">
        <v>66</v>
      </c>
      <c r="O3" s="27" t="s">
        <v>67</v>
      </c>
    </row>
    <row r="4" spans="5:15" ht="18.75" x14ac:dyDescent="0.3">
      <c r="E4" s="17" t="s">
        <v>63</v>
      </c>
      <c r="F4" s="24">
        <v>500</v>
      </c>
      <c r="H4" s="17" t="s">
        <v>63</v>
      </c>
      <c r="I4" s="16">
        <v>0.85</v>
      </c>
      <c r="K4" s="17" t="s">
        <v>63</v>
      </c>
      <c r="L4" s="16">
        <v>0.3</v>
      </c>
      <c r="N4" s="17" t="s">
        <v>63</v>
      </c>
      <c r="O4" s="16">
        <v>0.92</v>
      </c>
    </row>
    <row r="5" spans="5:15" ht="18.75" x14ac:dyDescent="0.3">
      <c r="E5" s="17" t="s">
        <v>64</v>
      </c>
      <c r="F5" s="24">
        <v>200</v>
      </c>
      <c r="H5" s="17" t="s">
        <v>64</v>
      </c>
      <c r="I5" s="16">
        <f>100%-I4</f>
        <v>0.15000000000000002</v>
      </c>
      <c r="K5" s="17" t="s">
        <v>64</v>
      </c>
      <c r="L5" s="16">
        <f>100%-L4</f>
        <v>0.7</v>
      </c>
      <c r="N5" s="17" t="s">
        <v>64</v>
      </c>
      <c r="O5" s="16">
        <f>100%-O4</f>
        <v>7.999999999999996E-2</v>
      </c>
    </row>
  </sheetData>
  <mergeCells count="5">
    <mergeCell ref="E3:F3"/>
    <mergeCell ref="H3:I3"/>
    <mergeCell ref="K3:L3"/>
    <mergeCell ref="N3:O3"/>
    <mergeCell ref="H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AC2D-B7E0-4741-92C5-92B915446BF9}">
  <sheetPr codeName="Sheet4"/>
  <dimension ref="A1:G17"/>
  <sheetViews>
    <sheetView showGridLines="0" workbookViewId="0">
      <selection activeCell="K17" sqref="K17"/>
    </sheetView>
  </sheetViews>
  <sheetFormatPr defaultRowHeight="15" x14ac:dyDescent="0.25"/>
  <cols>
    <col min="1" max="1" width="21" bestFit="1" customWidth="1"/>
    <col min="2" max="2" width="9" customWidth="1"/>
    <col min="3" max="3" width="16.140625" customWidth="1"/>
    <col min="4" max="4" width="16" customWidth="1"/>
    <col min="5" max="5" width="21" bestFit="1" customWidth="1"/>
    <col min="6" max="6" width="14.42578125" bestFit="1" customWidth="1"/>
    <col min="7" max="7" width="13.140625" customWidth="1"/>
  </cols>
  <sheetData>
    <row r="1" spans="1:7" ht="18.75" x14ac:dyDescent="0.3">
      <c r="A1" s="29" t="s">
        <v>1</v>
      </c>
      <c r="B1" s="29"/>
      <c r="C1" s="29"/>
      <c r="D1" s="29"/>
      <c r="E1" s="29"/>
      <c r="F1" s="29"/>
      <c r="G1" s="29"/>
    </row>
    <row r="2" spans="1:7" ht="16.5" x14ac:dyDescent="0.25">
      <c r="A2" s="14" t="s">
        <v>2</v>
      </c>
      <c r="B2" s="14" t="s">
        <v>3</v>
      </c>
      <c r="C2" s="14" t="s">
        <v>4</v>
      </c>
      <c r="D2" s="14" t="s">
        <v>5</v>
      </c>
      <c r="E2" s="15" t="s">
        <v>0</v>
      </c>
      <c r="F2" s="14" t="s">
        <v>6</v>
      </c>
      <c r="G2" s="14" t="s">
        <v>7</v>
      </c>
    </row>
    <row r="3" spans="1:7" ht="16.5" x14ac:dyDescent="0.3">
      <c r="A3" s="1" t="s">
        <v>8</v>
      </c>
      <c r="B3" s="1" t="s">
        <v>9</v>
      </c>
      <c r="C3" s="4">
        <v>0.62</v>
      </c>
      <c r="D3" s="5">
        <f>100%-C3</f>
        <v>0.38</v>
      </c>
      <c r="E3" s="8">
        <v>45182.963259606484</v>
      </c>
      <c r="F3" s="2">
        <v>157</v>
      </c>
      <c r="G3" s="2">
        <v>197</v>
      </c>
    </row>
    <row r="4" spans="1:7" ht="16.5" x14ac:dyDescent="0.3">
      <c r="A4" s="1" t="s">
        <v>10</v>
      </c>
      <c r="B4" s="1" t="s">
        <v>11</v>
      </c>
      <c r="C4" s="4">
        <v>0.67500000000000004</v>
      </c>
      <c r="D4" s="5">
        <f t="shared" ref="D4:D17" si="0">100%-C4</f>
        <v>0.32499999999999996</v>
      </c>
      <c r="E4" s="8">
        <v>45187.963259606484</v>
      </c>
      <c r="F4" s="2">
        <v>168</v>
      </c>
      <c r="G4" s="2">
        <v>193</v>
      </c>
    </row>
    <row r="5" spans="1:7" ht="16.5" x14ac:dyDescent="0.3">
      <c r="A5" s="1" t="s">
        <v>12</v>
      </c>
      <c r="B5" s="1" t="s">
        <v>13</v>
      </c>
      <c r="C5" s="4">
        <v>0.64</v>
      </c>
      <c r="D5" s="5">
        <f t="shared" si="0"/>
        <v>0.36</v>
      </c>
      <c r="E5" s="8">
        <v>45181.963259606484</v>
      </c>
      <c r="F5" s="2">
        <v>191</v>
      </c>
      <c r="G5" s="2">
        <v>233</v>
      </c>
    </row>
    <row r="6" spans="1:7" ht="16.5" x14ac:dyDescent="0.3">
      <c r="A6" s="1" t="s">
        <v>14</v>
      </c>
      <c r="B6" s="1" t="s">
        <v>9</v>
      </c>
      <c r="C6" s="4">
        <v>0.52499999999999991</v>
      </c>
      <c r="D6" s="5">
        <f t="shared" si="0"/>
        <v>0.47500000000000009</v>
      </c>
      <c r="E6" s="8">
        <v>45183.963259606484</v>
      </c>
      <c r="F6" s="2">
        <v>184</v>
      </c>
      <c r="G6" s="2">
        <v>161</v>
      </c>
    </row>
    <row r="7" spans="1:7" ht="16.5" x14ac:dyDescent="0.3">
      <c r="A7" s="1" t="s">
        <v>15</v>
      </c>
      <c r="B7" s="1" t="s">
        <v>16</v>
      </c>
      <c r="C7" s="4">
        <v>0.51</v>
      </c>
      <c r="D7" s="5">
        <f t="shared" si="0"/>
        <v>0.49</v>
      </c>
      <c r="E7" s="8">
        <v>45177.963259606484</v>
      </c>
      <c r="F7" s="2">
        <v>169</v>
      </c>
      <c r="G7" s="2">
        <v>186</v>
      </c>
    </row>
    <row r="8" spans="1:7" ht="16.5" x14ac:dyDescent="0.3">
      <c r="A8" s="1" t="s">
        <v>17</v>
      </c>
      <c r="B8" s="1" t="s">
        <v>9</v>
      </c>
      <c r="C8" s="4">
        <v>0.66500000000000004</v>
      </c>
      <c r="D8" s="5">
        <f t="shared" si="0"/>
        <v>0.33499999999999996</v>
      </c>
      <c r="E8" s="8">
        <v>45142.963259606484</v>
      </c>
      <c r="F8" s="2">
        <v>114</v>
      </c>
      <c r="G8" s="2">
        <v>142</v>
      </c>
    </row>
    <row r="9" spans="1:7" ht="16.5" x14ac:dyDescent="0.3">
      <c r="A9" s="1" t="s">
        <v>18</v>
      </c>
      <c r="B9" s="1" t="s">
        <v>19</v>
      </c>
      <c r="C9" s="4">
        <v>0.61499999999999999</v>
      </c>
      <c r="D9" s="5">
        <f t="shared" si="0"/>
        <v>0.38500000000000001</v>
      </c>
      <c r="E9" s="8">
        <v>45143.963259606484</v>
      </c>
      <c r="F9" s="2">
        <v>232</v>
      </c>
      <c r="G9" s="2">
        <v>179</v>
      </c>
    </row>
    <row r="10" spans="1:7" ht="16.5" x14ac:dyDescent="0.3">
      <c r="A10" s="1" t="s">
        <v>20</v>
      </c>
      <c r="B10" s="1" t="s">
        <v>21</v>
      </c>
      <c r="C10" s="4">
        <v>0.52500000000000002</v>
      </c>
      <c r="D10" s="5">
        <f t="shared" si="0"/>
        <v>0.47499999999999998</v>
      </c>
      <c r="E10" s="8">
        <v>45148.963259606484</v>
      </c>
      <c r="F10" s="2">
        <v>177</v>
      </c>
      <c r="G10" s="2">
        <v>136</v>
      </c>
    </row>
    <row r="11" spans="1:7" ht="16.5" x14ac:dyDescent="0.3">
      <c r="A11" s="1" t="s">
        <v>22</v>
      </c>
      <c r="B11" s="1" t="s">
        <v>11</v>
      </c>
      <c r="C11" s="4">
        <v>0.7</v>
      </c>
      <c r="D11" s="5">
        <f t="shared" si="0"/>
        <v>0.30000000000000004</v>
      </c>
      <c r="E11" s="8">
        <v>45222.963259606484</v>
      </c>
      <c r="F11" s="2">
        <v>214</v>
      </c>
      <c r="G11" s="2">
        <v>206</v>
      </c>
    </row>
    <row r="12" spans="1:7" ht="16.5" x14ac:dyDescent="0.3">
      <c r="A12" s="1" t="s">
        <v>23</v>
      </c>
      <c r="B12" s="1" t="s">
        <v>9</v>
      </c>
      <c r="C12" s="4">
        <v>0.95</v>
      </c>
      <c r="D12" s="5">
        <f t="shared" si="0"/>
        <v>5.0000000000000044E-2</v>
      </c>
      <c r="E12" s="8">
        <v>45227.963259606484</v>
      </c>
      <c r="F12" s="2">
        <v>257</v>
      </c>
      <c r="G12" s="2">
        <v>214</v>
      </c>
    </row>
    <row r="13" spans="1:7" ht="16.5" x14ac:dyDescent="0.3">
      <c r="A13" s="1" t="s">
        <v>24</v>
      </c>
      <c r="B13" s="1" t="s">
        <v>11</v>
      </c>
      <c r="C13" s="4">
        <v>0.97</v>
      </c>
      <c r="D13" s="5">
        <f t="shared" si="0"/>
        <v>3.0000000000000027E-2</v>
      </c>
      <c r="E13" s="8">
        <v>45182.963259606484</v>
      </c>
      <c r="F13" s="2">
        <v>242</v>
      </c>
      <c r="G13" s="2">
        <v>201</v>
      </c>
    </row>
    <row r="14" spans="1:7" ht="16.5" x14ac:dyDescent="0.3">
      <c r="A14" s="1" t="s">
        <v>25</v>
      </c>
      <c r="B14" s="1" t="s">
        <v>13</v>
      </c>
      <c r="C14" s="4">
        <v>0.98</v>
      </c>
      <c r="D14" s="5">
        <f t="shared" si="0"/>
        <v>2.0000000000000018E-2</v>
      </c>
      <c r="E14" s="8">
        <v>45187.963259606484</v>
      </c>
      <c r="F14" s="2">
        <v>210</v>
      </c>
      <c r="G14" s="2">
        <v>133</v>
      </c>
    </row>
    <row r="15" spans="1:7" ht="16.5" x14ac:dyDescent="0.3">
      <c r="A15" s="1" t="s">
        <v>26</v>
      </c>
      <c r="B15" s="1" t="s">
        <v>27</v>
      </c>
      <c r="C15" s="4">
        <v>0.33</v>
      </c>
      <c r="D15" s="5">
        <f t="shared" si="0"/>
        <v>0.66999999999999993</v>
      </c>
      <c r="E15" s="8">
        <v>45181.963259606484</v>
      </c>
      <c r="F15" s="2">
        <v>200</v>
      </c>
      <c r="G15" s="2">
        <v>191</v>
      </c>
    </row>
    <row r="16" spans="1:7" ht="16.5" x14ac:dyDescent="0.3">
      <c r="A16" s="1" t="s">
        <v>28</v>
      </c>
      <c r="B16" s="1" t="s">
        <v>13</v>
      </c>
      <c r="C16" s="4">
        <v>0.55000000000000004</v>
      </c>
      <c r="D16" s="5">
        <f t="shared" si="0"/>
        <v>0.44999999999999996</v>
      </c>
      <c r="E16" s="8">
        <v>45186.963259606484</v>
      </c>
      <c r="F16" s="2">
        <v>180</v>
      </c>
      <c r="G16" s="2">
        <v>189</v>
      </c>
    </row>
    <row r="17" spans="1:7" ht="16.5" x14ac:dyDescent="0.3">
      <c r="A17" s="1" t="s">
        <v>29</v>
      </c>
      <c r="B17" s="1" t="s">
        <v>9</v>
      </c>
      <c r="C17" s="4">
        <v>0.65</v>
      </c>
      <c r="D17" s="5">
        <f t="shared" si="0"/>
        <v>0.35</v>
      </c>
      <c r="E17" s="8">
        <v>45180.963259606484</v>
      </c>
      <c r="F17" s="2">
        <v>164</v>
      </c>
      <c r="G17" s="2">
        <v>195</v>
      </c>
    </row>
  </sheetData>
  <mergeCells count="1">
    <mergeCell ref="A1:G1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A544-62FC-4256-A218-4EDE48047BBC}">
  <sheetPr codeName="Sheet5"/>
  <dimension ref="C2:D9"/>
  <sheetViews>
    <sheetView showGridLines="0" workbookViewId="0">
      <selection activeCell="T11" sqref="T11"/>
    </sheetView>
  </sheetViews>
  <sheetFormatPr defaultRowHeight="15" x14ac:dyDescent="0.25"/>
  <cols>
    <col min="1" max="1" width="10.5703125" bestFit="1" customWidth="1"/>
    <col min="2" max="2" width="6.42578125" bestFit="1" customWidth="1"/>
    <col min="3" max="3" width="16.42578125" bestFit="1" customWidth="1"/>
    <col min="4" max="4" width="6" bestFit="1" customWidth="1"/>
    <col min="5" max="5" width="10.28515625" bestFit="1" customWidth="1"/>
    <col min="6" max="6" width="5.140625" bestFit="1" customWidth="1"/>
    <col min="7" max="7" width="12" bestFit="1" customWidth="1"/>
  </cols>
  <sheetData>
    <row r="2" spans="3:4" x14ac:dyDescent="0.25">
      <c r="C2" s="30" t="s">
        <v>76</v>
      </c>
      <c r="D2" s="30"/>
    </row>
    <row r="3" spans="3:4" x14ac:dyDescent="0.25">
      <c r="C3" s="22" t="s">
        <v>77</v>
      </c>
      <c r="D3" s="2">
        <v>82</v>
      </c>
    </row>
    <row r="4" spans="3:4" x14ac:dyDescent="0.25">
      <c r="C4" s="2" t="s">
        <v>78</v>
      </c>
      <c r="D4" s="2">
        <v>50</v>
      </c>
    </row>
    <row r="5" spans="3:4" x14ac:dyDescent="0.25">
      <c r="C5" s="2" t="s">
        <v>79</v>
      </c>
      <c r="D5" s="2">
        <v>22</v>
      </c>
    </row>
    <row r="6" spans="3:4" x14ac:dyDescent="0.25">
      <c r="C6" s="2" t="s">
        <v>80</v>
      </c>
      <c r="D6" s="2">
        <v>-18</v>
      </c>
    </row>
    <row r="7" spans="3:4" x14ac:dyDescent="0.25">
      <c r="C7" s="2" t="s">
        <v>81</v>
      </c>
      <c r="D7" s="2">
        <v>-6</v>
      </c>
    </row>
    <row r="8" spans="3:4" x14ac:dyDescent="0.25">
      <c r="C8" s="2" t="s">
        <v>82</v>
      </c>
      <c r="D8" s="2">
        <v>-29</v>
      </c>
    </row>
    <row r="9" spans="3:4" x14ac:dyDescent="0.25">
      <c r="C9" s="22" t="s">
        <v>83</v>
      </c>
      <c r="D9" s="2">
        <f>SUM(D3:D8)</f>
        <v>101</v>
      </c>
    </row>
  </sheetData>
  <mergeCells count="1">
    <mergeCell ref="C2:D2"/>
  </mergeCells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D672-C659-4780-B520-65EACF06206C}">
  <sheetPr codeName="Sheet6"/>
  <dimension ref="A1:C13"/>
  <sheetViews>
    <sheetView showGridLines="0" workbookViewId="0">
      <selection sqref="A1:C13"/>
    </sheetView>
  </sheetViews>
  <sheetFormatPr defaultRowHeight="15" x14ac:dyDescent="0.25"/>
  <cols>
    <col min="2" max="2" width="10.42578125" bestFit="1" customWidth="1"/>
    <col min="3" max="3" width="9.7109375" customWidth="1"/>
    <col min="4" max="4" width="8.85546875" customWidth="1"/>
    <col min="5" max="8" width="8.7109375" customWidth="1"/>
  </cols>
  <sheetData>
    <row r="1" spans="1:3" x14ac:dyDescent="0.25">
      <c r="A1" s="11" t="s">
        <v>0</v>
      </c>
      <c r="B1" s="11" t="s">
        <v>33</v>
      </c>
      <c r="C1" s="11" t="s">
        <v>34</v>
      </c>
    </row>
    <row r="2" spans="1:3" x14ac:dyDescent="0.25">
      <c r="A2" s="2" t="s">
        <v>35</v>
      </c>
      <c r="B2" s="2">
        <v>12</v>
      </c>
      <c r="C2" s="9">
        <v>3574</v>
      </c>
    </row>
    <row r="3" spans="1:3" x14ac:dyDescent="0.25">
      <c r="A3" s="2" t="s">
        <v>36</v>
      </c>
      <c r="B3" s="2">
        <v>11</v>
      </c>
      <c r="C3" s="9">
        <v>4708</v>
      </c>
    </row>
    <row r="4" spans="1:3" x14ac:dyDescent="0.25">
      <c r="A4" s="2" t="s">
        <v>37</v>
      </c>
      <c r="B4" s="2">
        <v>10</v>
      </c>
      <c r="C4" s="9">
        <v>5332</v>
      </c>
    </row>
    <row r="5" spans="1:3" x14ac:dyDescent="0.25">
      <c r="A5" s="2" t="s">
        <v>38</v>
      </c>
      <c r="B5" s="2">
        <v>9</v>
      </c>
      <c r="C5" s="9">
        <v>6693</v>
      </c>
    </row>
    <row r="6" spans="1:3" x14ac:dyDescent="0.25">
      <c r="A6" s="2" t="s">
        <v>39</v>
      </c>
      <c r="B6" s="2">
        <v>8</v>
      </c>
      <c r="C6" s="9">
        <v>8843</v>
      </c>
    </row>
    <row r="7" spans="1:3" x14ac:dyDescent="0.25">
      <c r="A7" s="2" t="s">
        <v>40</v>
      </c>
      <c r="B7" s="2">
        <v>6</v>
      </c>
      <c r="C7" s="9">
        <v>12347</v>
      </c>
    </row>
    <row r="8" spans="1:3" x14ac:dyDescent="0.25">
      <c r="A8" s="2" t="s">
        <v>41</v>
      </c>
      <c r="B8" s="2">
        <v>4</v>
      </c>
      <c r="C8" s="9">
        <v>15180</v>
      </c>
    </row>
    <row r="9" spans="1:3" x14ac:dyDescent="0.25">
      <c r="A9" s="2" t="s">
        <v>42</v>
      </c>
      <c r="B9" s="2">
        <v>6</v>
      </c>
      <c r="C9" s="9">
        <v>11198</v>
      </c>
    </row>
    <row r="10" spans="1:3" x14ac:dyDescent="0.25">
      <c r="A10" s="2" t="s">
        <v>43</v>
      </c>
      <c r="B10" s="2">
        <v>7</v>
      </c>
      <c r="C10" s="9">
        <v>9739</v>
      </c>
    </row>
    <row r="11" spans="1:3" x14ac:dyDescent="0.25">
      <c r="A11" s="2" t="s">
        <v>44</v>
      </c>
      <c r="B11" s="2">
        <v>8</v>
      </c>
      <c r="C11" s="9">
        <v>9846</v>
      </c>
    </row>
    <row r="12" spans="1:3" x14ac:dyDescent="0.25">
      <c r="A12" s="2" t="s">
        <v>45</v>
      </c>
      <c r="B12" s="2">
        <v>10</v>
      </c>
      <c r="C12" s="9">
        <v>6620</v>
      </c>
    </row>
    <row r="13" spans="1:3" x14ac:dyDescent="0.25">
      <c r="A13" s="2" t="s">
        <v>46</v>
      </c>
      <c r="B13" s="2">
        <v>11</v>
      </c>
      <c r="C13" s="9">
        <v>5085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CCDE-EB3F-4AC3-B80B-A764CE09754B}">
  <sheetPr codeName="Sheet7"/>
  <dimension ref="A1:C13"/>
  <sheetViews>
    <sheetView showGridLines="0" tabSelected="1" zoomScale="115" zoomScaleNormal="115" workbookViewId="0">
      <selection activeCell="D13" sqref="D13"/>
    </sheetView>
  </sheetViews>
  <sheetFormatPr defaultRowHeight="15" x14ac:dyDescent="0.25"/>
  <cols>
    <col min="1" max="1" width="17.140625" customWidth="1"/>
    <col min="2" max="2" width="10.28515625" customWidth="1"/>
    <col min="3" max="3" width="8.85546875" customWidth="1"/>
  </cols>
  <sheetData>
    <row r="1" spans="1:3" ht="18.75" x14ac:dyDescent="0.3">
      <c r="A1" s="13" t="s">
        <v>47</v>
      </c>
    </row>
    <row r="3" spans="1:3" x14ac:dyDescent="0.25">
      <c r="A3" s="1"/>
      <c r="B3" s="12" t="s">
        <v>48</v>
      </c>
      <c r="C3" s="12" t="s">
        <v>49</v>
      </c>
    </row>
    <row r="4" spans="1:3" x14ac:dyDescent="0.25">
      <c r="A4" s="1" t="s">
        <v>50</v>
      </c>
      <c r="B4" s="3">
        <v>42887</v>
      </c>
      <c r="C4" s="1">
        <v>10</v>
      </c>
    </row>
    <row r="5" spans="1:3" x14ac:dyDescent="0.25">
      <c r="A5" s="1" t="s">
        <v>51</v>
      </c>
      <c r="B5" s="3">
        <v>42898</v>
      </c>
      <c r="C5" s="1">
        <v>7</v>
      </c>
    </row>
    <row r="6" spans="1:3" x14ac:dyDescent="0.25">
      <c r="A6" s="1" t="s">
        <v>52</v>
      </c>
      <c r="B6" s="3">
        <v>42906</v>
      </c>
      <c r="C6" s="1">
        <v>10</v>
      </c>
    </row>
    <row r="7" spans="1:3" x14ac:dyDescent="0.25">
      <c r="A7" s="1" t="s">
        <v>53</v>
      </c>
      <c r="B7" s="3">
        <v>42917</v>
      </c>
      <c r="C7" s="1">
        <v>5</v>
      </c>
    </row>
    <row r="8" spans="1:3" x14ac:dyDescent="0.25">
      <c r="A8" s="1" t="s">
        <v>54</v>
      </c>
      <c r="B8" s="3">
        <v>42923</v>
      </c>
      <c r="C8" s="1">
        <v>3</v>
      </c>
    </row>
    <row r="9" spans="1:3" x14ac:dyDescent="0.25">
      <c r="A9" s="1" t="s">
        <v>55</v>
      </c>
      <c r="B9" s="3">
        <v>42923</v>
      </c>
      <c r="C9" s="1">
        <v>3</v>
      </c>
    </row>
    <row r="10" spans="1:3" x14ac:dyDescent="0.25">
      <c r="A10" s="1" t="s">
        <v>56</v>
      </c>
      <c r="B10" s="3">
        <v>42927</v>
      </c>
      <c r="C10" s="1">
        <v>2</v>
      </c>
    </row>
    <row r="11" spans="1:3" x14ac:dyDescent="0.25">
      <c r="A11" s="1" t="s">
        <v>57</v>
      </c>
      <c r="B11" s="3">
        <v>42929</v>
      </c>
      <c r="C11" s="1">
        <v>2</v>
      </c>
    </row>
    <row r="13" spans="1:3" x14ac:dyDescent="0.25">
      <c r="B13" s="23">
        <f>B4</f>
        <v>42887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Column-Bar Chart</vt:lpstr>
      <vt:lpstr>Line Chart</vt:lpstr>
      <vt:lpstr>Pie Chart</vt:lpstr>
      <vt:lpstr>Scatter plot</vt:lpstr>
      <vt:lpstr>Waterfall Chart</vt:lpstr>
      <vt:lpstr>Combo Chart</vt:lpstr>
      <vt:lpstr>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Sarabjeet Rajput</dc:creator>
  <cp:keywords/>
  <dc:description/>
  <cp:lastModifiedBy>Satej Bhogate</cp:lastModifiedBy>
  <cp:revision/>
  <dcterms:created xsi:type="dcterms:W3CDTF">2019-09-01T12:26:22Z</dcterms:created>
  <dcterms:modified xsi:type="dcterms:W3CDTF">2025-08-08T06:32:53Z</dcterms:modified>
  <cp:category/>
  <cp:contentStatus/>
</cp:coreProperties>
</file>