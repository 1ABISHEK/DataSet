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3D053A21-50A5-4722-85A9-956F04CEFBE1}" xr6:coauthVersionLast="47" xr6:coauthVersionMax="47" xr10:uidLastSave="{00000000-0000-0000-0000-000000000000}"/>
  <bookViews>
    <workbookView xWindow="-120" yWindow="-120" windowWidth="20730" windowHeight="11040" activeTab="1" xr2:uid="{D7C7FCD6-39B6-4A8F-AA5A-45621DDB07EF}"/>
  </bookViews>
  <sheets>
    <sheet name="Task1" sheetId="1" r:id="rId1"/>
    <sheet name="Task2" sheetId="2" r:id="rId2"/>
    <sheet name="Offset" sheetId="4" r:id="rId3"/>
    <sheet name="Indirect" sheetId="11" r:id="rId4"/>
    <sheet name="Text functions" sheetId="5" r:id="rId5"/>
    <sheet name="Date " sheetId="3" r:id="rId6"/>
    <sheet name="Sheet1" sheetId="12" r:id="rId7"/>
    <sheet name="Jan" sheetId="9" r:id="rId8"/>
    <sheet name="Feb" sheetId="8" r:id="rId9"/>
    <sheet name="March" sheetId="7" r:id="rId10"/>
  </sheets>
  <definedNames>
    <definedName name="abc">Indirect!$E$3</definedName>
    <definedName name="months">Offset!$B$21:$G$21</definedName>
    <definedName name="person_name">Offset!$A$22:$A$28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6" i="2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5" i="1"/>
  <c r="I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N2" i="1"/>
  <c r="I11" i="5"/>
  <c r="F16" i="5"/>
  <c r="F17" i="5"/>
  <c r="F18" i="5"/>
  <c r="F19" i="5"/>
  <c r="F20" i="5"/>
  <c r="F21" i="5"/>
  <c r="F22" i="5"/>
  <c r="F23" i="5"/>
  <c r="F24" i="5"/>
  <c r="F25" i="5"/>
  <c r="F15" i="5"/>
  <c r="E16" i="5"/>
  <c r="E17" i="5"/>
  <c r="E18" i="5"/>
  <c r="E19" i="5"/>
  <c r="E20" i="5"/>
  <c r="E21" i="5"/>
  <c r="E22" i="5"/>
  <c r="E23" i="5"/>
  <c r="E24" i="5"/>
  <c r="E25" i="5"/>
  <c r="E15" i="5"/>
  <c r="D16" i="5"/>
  <c r="D17" i="5"/>
  <c r="D18" i="5"/>
  <c r="D19" i="5"/>
  <c r="D20" i="5"/>
  <c r="D21" i="5"/>
  <c r="D22" i="5"/>
  <c r="D23" i="5"/>
  <c r="D24" i="5"/>
  <c r="D25" i="5"/>
  <c r="D15" i="5"/>
  <c r="C16" i="5"/>
  <c r="C17" i="5"/>
  <c r="C18" i="5"/>
  <c r="C19" i="5"/>
  <c r="C20" i="5"/>
  <c r="C21" i="5"/>
  <c r="C22" i="5"/>
  <c r="C23" i="5"/>
  <c r="C24" i="5"/>
  <c r="C25" i="5"/>
  <c r="C15" i="5"/>
  <c r="B16" i="5"/>
  <c r="B17" i="5"/>
  <c r="B18" i="5"/>
  <c r="B19" i="5"/>
  <c r="B20" i="5"/>
  <c r="B21" i="5"/>
  <c r="B22" i="5"/>
  <c r="B23" i="5"/>
  <c r="B24" i="5"/>
  <c r="B25" i="5"/>
  <c r="B15" i="5"/>
  <c r="E4" i="5"/>
  <c r="E5" i="5"/>
  <c r="E6" i="5"/>
  <c r="E7" i="5"/>
  <c r="E8" i="5"/>
  <c r="E9" i="5"/>
  <c r="E3" i="5"/>
  <c r="D4" i="5"/>
  <c r="D5" i="5"/>
  <c r="D6" i="5"/>
  <c r="D7" i="5"/>
  <c r="D8" i="5"/>
  <c r="D9" i="5"/>
  <c r="D3" i="5"/>
  <c r="C4" i="5"/>
  <c r="C5" i="5"/>
  <c r="C6" i="5"/>
  <c r="C7" i="5"/>
  <c r="C8" i="5"/>
  <c r="C9" i="5"/>
  <c r="C3" i="5"/>
  <c r="B4" i="5"/>
  <c r="B5" i="5"/>
  <c r="B6" i="5"/>
  <c r="B7" i="5"/>
  <c r="B8" i="5"/>
  <c r="B9" i="5"/>
  <c r="B3" i="5"/>
  <c r="C34" i="3"/>
  <c r="C28" i="3"/>
  <c r="E15" i="3"/>
  <c r="E16" i="3"/>
  <c r="E17" i="3"/>
  <c r="E18" i="3"/>
  <c r="E19" i="3"/>
  <c r="E20" i="3"/>
  <c r="E21" i="3"/>
  <c r="E22" i="3"/>
  <c r="E23" i="3"/>
  <c r="E24" i="3"/>
  <c r="E14" i="3"/>
  <c r="D15" i="3"/>
  <c r="D16" i="3"/>
  <c r="D17" i="3"/>
  <c r="D18" i="3"/>
  <c r="D19" i="3"/>
  <c r="D20" i="3"/>
  <c r="D21" i="3"/>
  <c r="D22" i="3"/>
  <c r="D23" i="3"/>
  <c r="D24" i="3"/>
  <c r="B3" i="3"/>
  <c r="J3" i="3"/>
  <c r="J4" i="3" s="1"/>
  <c r="J2" i="3"/>
  <c r="F3" i="12"/>
  <c r="E3" i="12"/>
  <c r="D3" i="12"/>
  <c r="J23" i="4"/>
  <c r="G15" i="4"/>
  <c r="G12" i="4" a="1"/>
  <c r="G12" i="4" s="1"/>
  <c r="G8" i="4"/>
  <c r="G7" i="4"/>
  <c r="C10" i="5"/>
  <c r="C11" i="5"/>
  <c r="B10" i="5"/>
  <c r="B11" i="5"/>
  <c r="B9" i="7"/>
  <c r="B9" i="9"/>
  <c r="B9" i="8"/>
  <c r="B4" i="11" a="1"/>
  <c r="J6" i="3" l="1"/>
  <c r="J5" i="3"/>
  <c r="B4" i="11"/>
  <c r="G10" i="5"/>
  <c r="G11" i="5"/>
  <c r="J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<sst xmlns="http://schemas.openxmlformats.org/spreadsheetml/2006/main" count="363" uniqueCount="196">
  <si>
    <t>Start Date</t>
  </si>
  <si>
    <t>Plant ID</t>
  </si>
  <si>
    <t>Project Type</t>
  </si>
  <si>
    <t>Plant123</t>
  </si>
  <si>
    <t>fleet planning</t>
  </si>
  <si>
    <t>Plant124</t>
  </si>
  <si>
    <t>custom EV </t>
  </si>
  <si>
    <t>process optimization</t>
  </si>
  <si>
    <t>Plant125</t>
  </si>
  <si>
    <t>modular plant design</t>
  </si>
  <si>
    <t>Plant126</t>
  </si>
  <si>
    <t>robotics and automation software </t>
  </si>
  <si>
    <t>Plant127</t>
  </si>
  <si>
    <t>Laser scanning and aerial imaging</t>
  </si>
  <si>
    <t>Status(Active/Hold/Completed)</t>
  </si>
  <si>
    <t>Budgeted Cost to Plant</t>
  </si>
  <si>
    <t>A</t>
  </si>
  <si>
    <t>C</t>
  </si>
  <si>
    <t>Target Release Date</t>
  </si>
  <si>
    <t>Extended Days requested</t>
  </si>
  <si>
    <t>Actual Project duration(in days)</t>
  </si>
  <si>
    <t>Extended Project duration(in years)</t>
  </si>
  <si>
    <t>EMP ID</t>
  </si>
  <si>
    <t>cre013</t>
  </si>
  <si>
    <t>cre016</t>
  </si>
  <si>
    <t>cre017</t>
  </si>
  <si>
    <t>cre020</t>
  </si>
  <si>
    <t>cre021</t>
  </si>
  <si>
    <t>ADVAITH RAI</t>
  </si>
  <si>
    <t>indrani mehta</t>
  </si>
  <si>
    <t>Sumit Ghosh</t>
  </si>
  <si>
    <t>LATHA MAHENDRA</t>
  </si>
  <si>
    <t>PRERNA SHAH</t>
  </si>
  <si>
    <t>SUMIT GHOSH</t>
  </si>
  <si>
    <t>INDRANI MEHTA</t>
  </si>
  <si>
    <t>SPOCName</t>
  </si>
  <si>
    <t>Project ID</t>
  </si>
  <si>
    <t>Project ID: Example for 1st row: FP12313, First 2 letters of Project name+last 3 digits of plantid+last 2 digits of EmpID</t>
  </si>
  <si>
    <t>Abbv SPOC Name</t>
  </si>
  <si>
    <t>Abbv SPOC Name: Example, A. Rai</t>
  </si>
  <si>
    <t>End Date</t>
  </si>
  <si>
    <t>Residual Months after completed years</t>
  </si>
  <si>
    <t>Residual Days after completed months</t>
  </si>
  <si>
    <t>Option Used</t>
  </si>
  <si>
    <t>"Y"</t>
  </si>
  <si>
    <t>"YM"</t>
  </si>
  <si>
    <t>"MD"</t>
  </si>
  <si>
    <t>"D"</t>
  </si>
  <si>
    <t>"M"</t>
  </si>
  <si>
    <t>No. of days between start and end date</t>
  </si>
  <si>
    <t>No. of months between start and end date</t>
  </si>
  <si>
    <t>No. of years between start and end date</t>
  </si>
  <si>
    <t>DATEDIF</t>
  </si>
  <si>
    <t>Question</t>
  </si>
  <si>
    <t>Sr. No</t>
  </si>
  <si>
    <t>Last name</t>
  </si>
  <si>
    <t>Date Hire</t>
  </si>
  <si>
    <t>Raymondekar</t>
  </si>
  <si>
    <t>Shinde</t>
  </si>
  <si>
    <t>Sharma</t>
  </si>
  <si>
    <t>Mavadia</t>
  </si>
  <si>
    <t>Ranganathan</t>
  </si>
  <si>
    <t>D'Souza</t>
  </si>
  <si>
    <t>Jain</t>
  </si>
  <si>
    <t>Mukherjee</t>
  </si>
  <si>
    <t>Sutradhar</t>
  </si>
  <si>
    <t>Fernendes</t>
  </si>
  <si>
    <t>Madhrani</t>
  </si>
  <si>
    <t>Duration since Joining</t>
  </si>
  <si>
    <t>Find duration since employee has been hired.</t>
  </si>
  <si>
    <t>Net Working days</t>
  </si>
  <si>
    <t>Networking Days</t>
  </si>
  <si>
    <t>Holidays Date</t>
  </si>
  <si>
    <t>Weekoff</t>
  </si>
  <si>
    <t>sat,sun</t>
  </si>
  <si>
    <t>fri</t>
  </si>
  <si>
    <t>sun</t>
  </si>
  <si>
    <t>Weekoff day</t>
  </si>
  <si>
    <r>
      <t>Actual Project duration(difference in Start date and Release Date[</t>
    </r>
    <r>
      <rPr>
        <b/>
        <i/>
        <sz val="10"/>
        <color theme="1"/>
        <rFont val="Calibri Light"/>
        <family val="2"/>
      </rPr>
      <t>Count only working days]</t>
    </r>
    <r>
      <rPr>
        <b/>
        <sz val="10"/>
        <color theme="1"/>
        <rFont val="Calibri Light"/>
        <family val="2"/>
      </rPr>
      <t>)</t>
    </r>
  </si>
  <si>
    <t>Left</t>
  </si>
  <si>
    <t>Right</t>
  </si>
  <si>
    <t>Mid</t>
  </si>
  <si>
    <t>Smart</t>
  </si>
  <si>
    <t>Beautiful</t>
  </si>
  <si>
    <t>Gorgeous</t>
  </si>
  <si>
    <t>Perfect</t>
  </si>
  <si>
    <t>Excellent</t>
  </si>
  <si>
    <t>Awesome</t>
  </si>
  <si>
    <t>OFFSET</t>
  </si>
  <si>
    <t xml:space="preserve">          Shinde</t>
  </si>
  <si>
    <t>Sharma   Rahul</t>
  </si>
  <si>
    <t>Mavadia ramesh</t>
  </si>
  <si>
    <t>jain Seema</t>
  </si>
  <si>
    <t>TRIM</t>
  </si>
  <si>
    <t>CASE</t>
  </si>
  <si>
    <t>CONCATENATE</t>
  </si>
  <si>
    <t>Using &amp;</t>
  </si>
  <si>
    <t>LEN</t>
  </si>
  <si>
    <t>Question1</t>
  </si>
  <si>
    <t>Question2</t>
  </si>
  <si>
    <t>=NOW()</t>
  </si>
  <si>
    <t>=TODAY()</t>
  </si>
  <si>
    <t>Date and Time</t>
  </si>
  <si>
    <t>Today's date</t>
  </si>
  <si>
    <t>Down</t>
  </si>
  <si>
    <t>"+"</t>
  </si>
  <si>
    <t>up</t>
  </si>
  <si>
    <t>"-"</t>
  </si>
  <si>
    <t>dark source</t>
  </si>
  <si>
    <t>light destination</t>
  </si>
  <si>
    <t>Result : Range</t>
  </si>
  <si>
    <t>Result : Cell value</t>
  </si>
  <si>
    <t>Person Name</t>
  </si>
  <si>
    <t>Jan</t>
  </si>
  <si>
    <t>Feb</t>
  </si>
  <si>
    <t>Mar</t>
  </si>
  <si>
    <t>Apr</t>
  </si>
  <si>
    <t>May</t>
  </si>
  <si>
    <t>Jun</t>
  </si>
  <si>
    <t>Virat</t>
  </si>
  <si>
    <t>Month Name</t>
  </si>
  <si>
    <t>Rohit</t>
  </si>
  <si>
    <t>Amount</t>
  </si>
  <si>
    <t>Sanjay</t>
  </si>
  <si>
    <t>Rajesh</t>
  </si>
  <si>
    <t>Vijay</t>
  </si>
  <si>
    <t>Dinesh</t>
  </si>
  <si>
    <t>Kuldeep</t>
  </si>
  <si>
    <t>Fixed</t>
  </si>
  <si>
    <t>With Match</t>
  </si>
  <si>
    <t>: Fetch cell value/Range wrt to referenced cell.</t>
  </si>
  <si>
    <t>Indirect</t>
  </si>
  <si>
    <t>Reference Address</t>
  </si>
  <si>
    <t>Value</t>
  </si>
  <si>
    <t>Hello,I am value at E1</t>
  </si>
  <si>
    <t>Hello,I am value at named cell "abc"</t>
  </si>
  <si>
    <t>FIND</t>
  </si>
  <si>
    <t>Find Networking days of each employee.</t>
  </si>
  <si>
    <t>Total</t>
  </si>
  <si>
    <t>Fetch Total of month</t>
  </si>
  <si>
    <t>End OF Month</t>
  </si>
  <si>
    <t>"hello h3"</t>
  </si>
  <si>
    <t>h3</t>
  </si>
  <si>
    <t>Result Sheet</t>
  </si>
  <si>
    <t>&amp; : concatenation</t>
  </si>
  <si>
    <t xml:space="preserve">   dashing</t>
  </si>
  <si>
    <t>Raymondekar      Roa</t>
  </si>
  <si>
    <t xml:space="preserve">       D'Souza</t>
  </si>
  <si>
    <t>Ranganathan       anjali</t>
  </si>
  <si>
    <t xml:space="preserve"> removes Extra spaces from left and mid</t>
  </si>
  <si>
    <t>UPPER() , LOWER() , PROPER() : capitalize each word</t>
  </si>
  <si>
    <t>Date Functions</t>
  </si>
  <si>
    <t>Day Part</t>
  </si>
  <si>
    <t>Month part</t>
  </si>
  <si>
    <t>Year part</t>
  </si>
  <si>
    <t>=DAY()</t>
  </si>
  <si>
    <t>=MONTH()</t>
  </si>
  <si>
    <t>=YEAR()</t>
  </si>
  <si>
    <t>=DATE()</t>
  </si>
  <si>
    <t>=DATEVALUE()</t>
  </si>
  <si>
    <t>Returns date</t>
  </si>
  <si>
    <t>coverts text to date</t>
  </si>
  <si>
    <t>Hired after 2020</t>
  </si>
  <si>
    <t>=DATEVALUE("13-march")</t>
  </si>
  <si>
    <t>=DATEVALUE("march-2020")</t>
  </si>
  <si>
    <t>Sheet Name</t>
  </si>
  <si>
    <t>=EDATE()</t>
  </si>
  <si>
    <t>EDATE</t>
  </si>
  <si>
    <t>Add/Subtract Days</t>
  </si>
  <si>
    <t>Add/Subtract Months</t>
  </si>
  <si>
    <t>Add/Subtract years</t>
  </si>
  <si>
    <t>(add 2 years)</t>
  </si>
  <si>
    <t>(add 10 months)</t>
  </si>
  <si>
    <t>(add 10 days)</t>
  </si>
  <si>
    <t>=NETWORKDAYS()</t>
  </si>
  <si>
    <t>=NETWORKDAYS.INTL()</t>
  </si>
  <si>
    <t>Custom Format</t>
  </si>
  <si>
    <t>Day Name Joined</t>
  </si>
  <si>
    <t>DATEDIF(start_date,end_date,option)</t>
  </si>
  <si>
    <t>=EOMONTH()</t>
  </si>
  <si>
    <t>Search</t>
  </si>
  <si>
    <t xml:space="preserve"> </t>
  </si>
  <si>
    <t>first 4 month SUM</t>
  </si>
  <si>
    <t>=SUM(OFFSET($A$21,MATCH($I$32,person_name,0),1,1,4))</t>
  </si>
  <si>
    <t>=DATE(D3,E3,F3)</t>
  </si>
  <si>
    <t>=DATEVALUE("1-August")</t>
  </si>
  <si>
    <t>=Datedif(B2,B3,"d")</t>
  </si>
  <si>
    <t>=Datedif(B2,B3,"M")</t>
  </si>
  <si>
    <t>=Datedif(B2,B3,"MD")</t>
  </si>
  <si>
    <t>=Datedif(B2,B3,"Y")</t>
  </si>
  <si>
    <t>=Datedif(B2,B3,"YM")</t>
  </si>
  <si>
    <t>=DATEDIF(C14,TODAY(),"Y")&amp;","&amp;DATEDIF(C14,TODAY(),"YM")&amp;","&amp;DATEDIF(C14,TODAY(),"YD")</t>
  </si>
  <si>
    <t>14/4/2023</t>
  </si>
  <si>
    <t>=NETWORKDAYS(B34,TODAY())</t>
  </si>
  <si>
    <t>=NETWORKDAYS(B36,TODAY(),$G$34:$G$35)</t>
  </si>
  <si>
    <t>Actual Date 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</si>
</sst>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,dddd"/>
  </numFmts>
  <fonts count="15" x14ac:knownFonts="1">
    <font>
      <sz val="14"/>
      <color theme="1"/>
      <name val="Calisto MT"/>
      <family val="2"/>
    </font>
    <font>
      <sz val="10"/>
      <color theme="1"/>
      <name val="Calibri Light"/>
      <family val="2"/>
    </font>
    <font>
      <b/>
      <sz val="10"/>
      <color rgb="FF000000"/>
      <name val="Calibri Light"/>
      <family val="2"/>
    </font>
    <font>
      <b/>
      <sz val="14"/>
      <color theme="1"/>
      <name val="Calisto MT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 Light"/>
      <family val="2"/>
    </font>
    <font>
      <b/>
      <i/>
      <sz val="10"/>
      <color theme="1"/>
      <name val="Calibri Light"/>
      <family val="2"/>
    </font>
    <font>
      <b/>
      <sz val="14"/>
      <color theme="1"/>
      <name val="Calisto MT"/>
      <family val="2"/>
    </font>
    <font>
      <sz val="12"/>
      <color theme="1"/>
      <name val="Calisto MT"/>
      <family val="2"/>
    </font>
    <font>
      <b/>
      <sz val="12"/>
      <color theme="1"/>
      <name val="Calisto MT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34998626667073579"/>
      <name val="Calisto MT"/>
      <family val="1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5" borderId="1" xfId="0" applyFill="1" applyBorder="1"/>
    <xf numFmtId="0" fontId="3" fillId="5" borderId="1" xfId="0" applyFont="1" applyFill="1" applyBorder="1"/>
    <xf numFmtId="0" fontId="6" fillId="0" borderId="2" xfId="0" applyFont="1" applyBorder="1"/>
    <xf numFmtId="0" fontId="8" fillId="0" borderId="0" xfId="0" applyFont="1"/>
    <xf numFmtId="0" fontId="6" fillId="5" borderId="1" xfId="0" applyFont="1" applyFill="1" applyBorder="1"/>
    <xf numFmtId="14" fontId="6" fillId="5" borderId="1" xfId="0" applyNumberFormat="1" applyFont="1" applyFill="1" applyBorder="1"/>
    <xf numFmtId="14" fontId="6" fillId="0" borderId="2" xfId="0" applyNumberFormat="1" applyFont="1" applyBorder="1"/>
    <xf numFmtId="0" fontId="6" fillId="5" borderId="1" xfId="0" applyFont="1" applyFill="1" applyBorder="1" applyAlignment="1">
      <alignment wrapText="1"/>
    </xf>
    <xf numFmtId="0" fontId="6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quotePrefix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9" fillId="0" borderId="0" xfId="0" applyFont="1"/>
    <xf numFmtId="0" fontId="10" fillId="3" borderId="0" xfId="0" applyFont="1" applyFill="1"/>
    <xf numFmtId="22" fontId="0" fillId="0" borderId="0" xfId="0" quotePrefix="1" applyNumberFormat="1"/>
    <xf numFmtId="14" fontId="0" fillId="0" borderId="0" xfId="0" quotePrefix="1" applyNumberFormat="1"/>
    <xf numFmtId="0" fontId="11" fillId="7" borderId="6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12" fillId="9" borderId="0" xfId="0" applyFont="1" applyFill="1" applyAlignment="1">
      <alignment horizontal="center"/>
    </xf>
    <xf numFmtId="0" fontId="0" fillId="6" borderId="0" xfId="0" applyFill="1"/>
    <xf numFmtId="0" fontId="11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2" borderId="0" xfId="0" applyFont="1" applyFill="1"/>
    <xf numFmtId="0" fontId="3" fillId="2" borderId="0" xfId="0" applyFont="1" applyFill="1"/>
    <xf numFmtId="0" fontId="0" fillId="10" borderId="1" xfId="0" applyFill="1" applyBorder="1"/>
    <xf numFmtId="0" fontId="0" fillId="0" borderId="0" xfId="0" quotePrefix="1"/>
    <xf numFmtId="0" fontId="0" fillId="11" borderId="1" xfId="0" applyFill="1" applyBorder="1"/>
    <xf numFmtId="0" fontId="0" fillId="11" borderId="0" xfId="0" applyFill="1"/>
    <xf numFmtId="14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left"/>
    </xf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4" fontId="3" fillId="0" borderId="1" xfId="0" applyNumberFormat="1" applyFont="1" applyBorder="1"/>
    <xf numFmtId="0" fontId="3" fillId="3" borderId="1" xfId="0" applyFont="1" applyFill="1" applyBorder="1"/>
    <xf numFmtId="0" fontId="0" fillId="3" borderId="1" xfId="0" applyFill="1" applyBorder="1"/>
    <xf numFmtId="0" fontId="11" fillId="7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0" xfId="0" quotePrefix="1" applyAlignment="1">
      <alignment vertical="center"/>
    </xf>
    <xf numFmtId="22" fontId="0" fillId="0" borderId="0" xfId="0" applyNumberFormat="1"/>
    <xf numFmtId="1" fontId="0" fillId="0" borderId="1" xfId="0" quotePrefix="1" applyNumberFormat="1" applyBorder="1"/>
    <xf numFmtId="0" fontId="5" fillId="0" borderId="1" xfId="0" quotePrefix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79BF-5C4B-467B-A0AB-A5D3FFF733E9}">
  <dimension ref="B1:N22"/>
  <sheetViews>
    <sheetView workbookViewId="0">
      <selection activeCell="J7" sqref="J7"/>
    </sheetView>
  </sheetViews>
  <sheetFormatPr defaultRowHeight="18" x14ac:dyDescent="0.25"/>
  <cols>
    <col min="2" max="2" width="8.69921875" style="5"/>
    <col min="3" max="3" width="5.59765625" hidden="1" customWidth="1"/>
    <col min="4" max="4" width="19" hidden="1" customWidth="1"/>
    <col min="5" max="5" width="20.19921875" hidden="1" customWidth="1"/>
    <col min="6" max="6" width="15" hidden="1" customWidth="1"/>
    <col min="7" max="7" width="12.796875" bestFit="1" customWidth="1"/>
    <col min="8" max="8" width="17.3984375" bestFit="1" customWidth="1"/>
    <col min="9" max="9" width="19.19921875" bestFit="1" customWidth="1"/>
    <col min="10" max="10" width="21" bestFit="1" customWidth="1"/>
    <col min="13" max="13" width="20.796875" bestFit="1" customWidth="1"/>
  </cols>
  <sheetData>
    <row r="1" spans="2:14" x14ac:dyDescent="0.25">
      <c r="B1" s="19" t="s">
        <v>78</v>
      </c>
      <c r="C1" s="16"/>
      <c r="D1" s="16"/>
    </row>
    <row r="2" spans="2:14" x14ac:dyDescent="0.25">
      <c r="M2" t="s">
        <v>195</v>
      </c>
      <c r="N2" s="5">
        <f ca="1">TODAY()</f>
        <v>45876</v>
      </c>
    </row>
    <row r="3" spans="2:14" ht="26.25" x14ac:dyDescent="0.25">
      <c r="B3" s="18" t="s">
        <v>0</v>
      </c>
      <c r="C3" s="17" t="s">
        <v>1</v>
      </c>
      <c r="D3" s="17" t="s">
        <v>2</v>
      </c>
      <c r="E3" s="17" t="s">
        <v>14</v>
      </c>
      <c r="F3" s="17" t="s">
        <v>15</v>
      </c>
      <c r="G3" s="17" t="s">
        <v>18</v>
      </c>
      <c r="H3" s="17" t="s">
        <v>19</v>
      </c>
      <c r="I3" s="20" t="s">
        <v>20</v>
      </c>
      <c r="J3" s="17" t="s">
        <v>21</v>
      </c>
    </row>
    <row r="4" spans="2:14" x14ac:dyDescent="0.25">
      <c r="B4" s="3">
        <v>44524</v>
      </c>
      <c r="C4" s="2" t="s">
        <v>3</v>
      </c>
      <c r="D4" s="2" t="s">
        <v>4</v>
      </c>
      <c r="E4" s="2" t="s">
        <v>16</v>
      </c>
      <c r="F4" s="2">
        <v>2762692</v>
      </c>
      <c r="G4" s="3">
        <v>44554</v>
      </c>
      <c r="H4" s="25">
        <f ca="1">DATEDIF(G4,TODAY(),"d")</f>
        <v>1322</v>
      </c>
      <c r="I4" s="1">
        <f ca="1">DATEDIF(B4,TODAY(),"d")</f>
        <v>1352</v>
      </c>
      <c r="J4" s="1">
        <f ca="1">DATEDIF(G4,TODAY(),"y")</f>
        <v>3</v>
      </c>
    </row>
    <row r="5" spans="2:14" x14ac:dyDescent="0.25">
      <c r="B5" s="3">
        <v>44525</v>
      </c>
      <c r="C5" s="2" t="s">
        <v>3</v>
      </c>
      <c r="D5" s="2" t="s">
        <v>4</v>
      </c>
      <c r="E5" s="2" t="s">
        <v>16</v>
      </c>
      <c r="F5" s="2">
        <v>3960903</v>
      </c>
      <c r="G5" s="3">
        <v>44581</v>
      </c>
      <c r="H5" s="25">
        <f t="shared" ref="H5:H22" ca="1" si="0">DATEDIF(G5,TODAY(),"d")</f>
        <v>1295</v>
      </c>
      <c r="I5" s="1">
        <f ca="1">DATEDIF(B5,TODAY(),"d")</f>
        <v>1351</v>
      </c>
      <c r="J5" s="1">
        <f t="shared" ref="J5:J22" ca="1" si="1">DATEDIF(G5,TODAY(),"y")</f>
        <v>3</v>
      </c>
    </row>
    <row r="6" spans="2:14" x14ac:dyDescent="0.25">
      <c r="B6" s="3">
        <v>44526</v>
      </c>
      <c r="C6" s="2" t="s">
        <v>3</v>
      </c>
      <c r="D6" s="2" t="s">
        <v>4</v>
      </c>
      <c r="E6" s="2" t="s">
        <v>16</v>
      </c>
      <c r="F6" s="2">
        <v>1732111</v>
      </c>
      <c r="G6" s="3">
        <v>44625</v>
      </c>
      <c r="H6" s="25">
        <f t="shared" ca="1" si="0"/>
        <v>1251</v>
      </c>
      <c r="I6" s="1">
        <f t="shared" ref="I6:I22" ca="1" si="2">DATEDIF(B6,TODAY(),"d")</f>
        <v>1350</v>
      </c>
      <c r="J6" s="1">
        <f t="shared" ca="1" si="1"/>
        <v>3</v>
      </c>
    </row>
    <row r="7" spans="2:14" x14ac:dyDescent="0.25">
      <c r="B7" s="3">
        <v>44529</v>
      </c>
      <c r="C7" s="2" t="s">
        <v>3</v>
      </c>
      <c r="D7" s="2" t="s">
        <v>4</v>
      </c>
      <c r="E7" s="2" t="s">
        <v>16</v>
      </c>
      <c r="F7" s="2">
        <v>4484571</v>
      </c>
      <c r="G7" s="3">
        <v>44589</v>
      </c>
      <c r="H7" s="25">
        <f t="shared" ca="1" si="0"/>
        <v>1287</v>
      </c>
      <c r="I7" s="1">
        <f t="shared" ca="1" si="2"/>
        <v>1347</v>
      </c>
      <c r="J7" s="1">
        <f t="shared" ca="1" si="1"/>
        <v>3</v>
      </c>
    </row>
    <row r="8" spans="2:14" x14ac:dyDescent="0.25">
      <c r="B8" s="3">
        <v>44894</v>
      </c>
      <c r="C8" s="2" t="s">
        <v>5</v>
      </c>
      <c r="D8" s="2" t="s">
        <v>6</v>
      </c>
      <c r="E8" s="2" t="s">
        <v>16</v>
      </c>
      <c r="F8" s="2">
        <v>3748576</v>
      </c>
      <c r="G8" s="3">
        <v>44994</v>
      </c>
      <c r="H8" s="25">
        <f t="shared" ca="1" si="0"/>
        <v>882</v>
      </c>
      <c r="I8" s="1">
        <f t="shared" ca="1" si="2"/>
        <v>982</v>
      </c>
      <c r="J8" s="1">
        <f t="shared" ca="1" si="1"/>
        <v>2</v>
      </c>
    </row>
    <row r="9" spans="2:14" x14ac:dyDescent="0.25">
      <c r="B9" s="3">
        <v>44895</v>
      </c>
      <c r="C9" s="2" t="s">
        <v>5</v>
      </c>
      <c r="D9" s="2" t="s">
        <v>7</v>
      </c>
      <c r="E9" s="2" t="s">
        <v>16</v>
      </c>
      <c r="F9" s="2">
        <v>3760932</v>
      </c>
      <c r="G9" s="3">
        <v>44960</v>
      </c>
      <c r="H9" s="25">
        <f t="shared" ca="1" si="0"/>
        <v>916</v>
      </c>
      <c r="I9" s="1">
        <f t="shared" ca="1" si="2"/>
        <v>981</v>
      </c>
      <c r="J9" s="1">
        <f t="shared" ca="1" si="1"/>
        <v>2</v>
      </c>
    </row>
    <row r="10" spans="2:14" x14ac:dyDescent="0.25">
      <c r="B10" s="3">
        <v>44896</v>
      </c>
      <c r="C10" s="2" t="s">
        <v>5</v>
      </c>
      <c r="D10" s="2" t="s">
        <v>7</v>
      </c>
      <c r="E10" s="2" t="s">
        <v>16</v>
      </c>
      <c r="F10" s="2">
        <v>2944071</v>
      </c>
      <c r="G10" s="3">
        <v>44951</v>
      </c>
      <c r="H10" s="25">
        <f t="shared" ca="1" si="0"/>
        <v>925</v>
      </c>
      <c r="I10" s="1">
        <f t="shared" ca="1" si="2"/>
        <v>980</v>
      </c>
      <c r="J10" s="1">
        <f t="shared" ca="1" si="1"/>
        <v>2</v>
      </c>
    </row>
    <row r="11" spans="2:14" x14ac:dyDescent="0.25">
      <c r="B11" s="3">
        <v>44897</v>
      </c>
      <c r="C11" s="2" t="s">
        <v>5</v>
      </c>
      <c r="D11" s="2" t="s">
        <v>7</v>
      </c>
      <c r="E11" s="2" t="s">
        <v>16</v>
      </c>
      <c r="F11" s="2">
        <v>2497654</v>
      </c>
      <c r="G11" s="3">
        <v>44935</v>
      </c>
      <c r="H11" s="25">
        <f t="shared" ca="1" si="0"/>
        <v>941</v>
      </c>
      <c r="I11" s="1">
        <f t="shared" ca="1" si="2"/>
        <v>979</v>
      </c>
      <c r="J11" s="1">
        <f t="shared" ca="1" si="1"/>
        <v>2</v>
      </c>
    </row>
    <row r="12" spans="2:14" x14ac:dyDescent="0.25">
      <c r="B12" s="3">
        <v>44540</v>
      </c>
      <c r="C12" s="2" t="s">
        <v>8</v>
      </c>
      <c r="D12" s="2" t="s">
        <v>9</v>
      </c>
      <c r="E12" s="2" t="s">
        <v>16</v>
      </c>
      <c r="F12" s="2">
        <v>4548399</v>
      </c>
      <c r="G12" s="3">
        <v>44604</v>
      </c>
      <c r="H12" s="25">
        <f t="shared" ca="1" si="0"/>
        <v>1272</v>
      </c>
      <c r="I12" s="1">
        <f t="shared" ca="1" si="2"/>
        <v>1336</v>
      </c>
      <c r="J12" s="1">
        <f t="shared" ca="1" si="1"/>
        <v>3</v>
      </c>
    </row>
    <row r="13" spans="2:14" x14ac:dyDescent="0.25">
      <c r="B13" s="3">
        <v>44543</v>
      </c>
      <c r="C13" s="2" t="s">
        <v>8</v>
      </c>
      <c r="D13" s="2" t="s">
        <v>9</v>
      </c>
      <c r="E13" s="2" t="s">
        <v>16</v>
      </c>
      <c r="F13" s="2">
        <v>2205957</v>
      </c>
      <c r="G13" s="3">
        <v>44615</v>
      </c>
      <c r="H13" s="25">
        <f t="shared" ca="1" si="0"/>
        <v>1261</v>
      </c>
      <c r="I13" s="1">
        <f t="shared" ca="1" si="2"/>
        <v>1333</v>
      </c>
      <c r="J13" s="1">
        <f t="shared" ca="1" si="1"/>
        <v>3</v>
      </c>
    </row>
    <row r="14" spans="2:14" x14ac:dyDescent="0.25">
      <c r="B14" s="3">
        <v>44544</v>
      </c>
      <c r="C14" s="2" t="s">
        <v>8</v>
      </c>
      <c r="D14" s="2" t="s">
        <v>9</v>
      </c>
      <c r="E14" s="2" t="s">
        <v>16</v>
      </c>
      <c r="F14" s="2">
        <v>3676322</v>
      </c>
      <c r="G14" s="3">
        <v>44615</v>
      </c>
      <c r="H14" s="25">
        <f t="shared" ca="1" si="0"/>
        <v>1261</v>
      </c>
      <c r="I14" s="1">
        <f t="shared" ca="1" si="2"/>
        <v>1332</v>
      </c>
      <c r="J14" s="1">
        <f t="shared" ca="1" si="1"/>
        <v>3</v>
      </c>
    </row>
    <row r="15" spans="2:14" x14ac:dyDescent="0.25">
      <c r="B15" s="3">
        <v>44928</v>
      </c>
      <c r="C15" s="2" t="s">
        <v>10</v>
      </c>
      <c r="D15" s="2" t="s">
        <v>9</v>
      </c>
      <c r="E15" s="2" t="s">
        <v>16</v>
      </c>
      <c r="F15" s="2">
        <v>2944165</v>
      </c>
      <c r="G15" s="3">
        <v>44983</v>
      </c>
      <c r="H15" s="25">
        <f t="shared" ca="1" si="0"/>
        <v>893</v>
      </c>
      <c r="I15" s="1">
        <f t="shared" ca="1" si="2"/>
        <v>948</v>
      </c>
      <c r="J15" s="1">
        <f t="shared" ca="1" si="1"/>
        <v>2</v>
      </c>
    </row>
    <row r="16" spans="2:14" x14ac:dyDescent="0.25">
      <c r="B16" s="3">
        <v>44959</v>
      </c>
      <c r="C16" s="2" t="s">
        <v>10</v>
      </c>
      <c r="D16" s="2" t="s">
        <v>7</v>
      </c>
      <c r="E16" s="2" t="s">
        <v>16</v>
      </c>
      <c r="F16" s="2">
        <v>474413</v>
      </c>
      <c r="G16" s="3">
        <v>44997</v>
      </c>
      <c r="H16" s="25">
        <f t="shared" ca="1" si="0"/>
        <v>879</v>
      </c>
      <c r="I16" s="1">
        <f t="shared" ca="1" si="2"/>
        <v>917</v>
      </c>
      <c r="J16" s="1">
        <f t="shared" ca="1" si="1"/>
        <v>2</v>
      </c>
    </row>
    <row r="17" spans="2:10" x14ac:dyDescent="0.25">
      <c r="B17" s="3">
        <v>44987</v>
      </c>
      <c r="C17" s="2" t="s">
        <v>10</v>
      </c>
      <c r="D17" s="2" t="s">
        <v>7</v>
      </c>
      <c r="E17" s="2" t="s">
        <v>16</v>
      </c>
      <c r="F17" s="2">
        <v>2444947</v>
      </c>
      <c r="G17" s="3">
        <v>45046</v>
      </c>
      <c r="H17" s="25">
        <f t="shared" ca="1" si="0"/>
        <v>830</v>
      </c>
      <c r="I17" s="1">
        <f t="shared" ca="1" si="2"/>
        <v>889</v>
      </c>
      <c r="J17" s="1">
        <f t="shared" ca="1" si="1"/>
        <v>2</v>
      </c>
    </row>
    <row r="18" spans="2:10" x14ac:dyDescent="0.25">
      <c r="B18" s="3">
        <v>45018</v>
      </c>
      <c r="C18" s="2" t="s">
        <v>10</v>
      </c>
      <c r="D18" s="2" t="s">
        <v>9</v>
      </c>
      <c r="E18" s="2" t="s">
        <v>16</v>
      </c>
      <c r="F18" s="2">
        <v>4866572</v>
      </c>
      <c r="G18" s="3">
        <v>45105</v>
      </c>
      <c r="H18" s="25">
        <f t="shared" ca="1" si="0"/>
        <v>771</v>
      </c>
      <c r="I18" s="1">
        <f t="shared" ca="1" si="2"/>
        <v>858</v>
      </c>
      <c r="J18" s="1">
        <f t="shared" ca="1" si="1"/>
        <v>2</v>
      </c>
    </row>
    <row r="19" spans="2:10" x14ac:dyDescent="0.25">
      <c r="B19" s="3">
        <v>45048</v>
      </c>
      <c r="C19" s="2" t="s">
        <v>10</v>
      </c>
      <c r="D19" s="2" t="s">
        <v>11</v>
      </c>
      <c r="E19" s="2" t="s">
        <v>16</v>
      </c>
      <c r="F19" s="2">
        <v>683047</v>
      </c>
      <c r="G19" s="3">
        <v>45140</v>
      </c>
      <c r="H19" s="25">
        <f t="shared" ca="1" si="0"/>
        <v>736</v>
      </c>
      <c r="I19" s="1">
        <f t="shared" ca="1" si="2"/>
        <v>828</v>
      </c>
      <c r="J19" s="1">
        <f t="shared" ca="1" si="1"/>
        <v>2</v>
      </c>
    </row>
    <row r="20" spans="2:10" x14ac:dyDescent="0.25">
      <c r="B20" s="3">
        <v>45079</v>
      </c>
      <c r="C20" s="2" t="s">
        <v>10</v>
      </c>
      <c r="D20" s="2" t="s">
        <v>11</v>
      </c>
      <c r="E20" s="2" t="s">
        <v>16</v>
      </c>
      <c r="F20" s="2">
        <v>3285174</v>
      </c>
      <c r="G20" s="3">
        <v>45146</v>
      </c>
      <c r="H20" s="25">
        <f t="shared" ca="1" si="0"/>
        <v>730</v>
      </c>
      <c r="I20" s="1">
        <f t="shared" ca="1" si="2"/>
        <v>797</v>
      </c>
      <c r="J20" s="1">
        <f t="shared" ca="1" si="1"/>
        <v>1</v>
      </c>
    </row>
    <row r="21" spans="2:10" x14ac:dyDescent="0.25">
      <c r="B21" s="3">
        <v>44547</v>
      </c>
      <c r="C21" s="2" t="s">
        <v>12</v>
      </c>
      <c r="D21" s="2" t="s">
        <v>13</v>
      </c>
      <c r="E21" s="2" t="s">
        <v>16</v>
      </c>
      <c r="F21" s="2">
        <v>4567548</v>
      </c>
      <c r="G21" s="3">
        <v>44584</v>
      </c>
      <c r="H21" s="25">
        <f t="shared" ca="1" si="0"/>
        <v>1292</v>
      </c>
      <c r="I21" s="1">
        <f t="shared" ca="1" si="2"/>
        <v>1329</v>
      </c>
      <c r="J21" s="1">
        <f t="shared" ca="1" si="1"/>
        <v>3</v>
      </c>
    </row>
    <row r="22" spans="2:10" x14ac:dyDescent="0.25">
      <c r="B22" s="3">
        <v>44550</v>
      </c>
      <c r="C22" s="2" t="s">
        <v>12</v>
      </c>
      <c r="D22" s="2" t="s">
        <v>13</v>
      </c>
      <c r="E22" s="2" t="s">
        <v>17</v>
      </c>
      <c r="F22" s="2">
        <v>4934989</v>
      </c>
      <c r="G22" s="3">
        <v>44582</v>
      </c>
      <c r="H22" s="25">
        <f t="shared" ca="1" si="0"/>
        <v>1294</v>
      </c>
      <c r="I22" s="1">
        <f t="shared" ca="1" si="2"/>
        <v>1326</v>
      </c>
      <c r="J22" s="1">
        <f t="shared" ca="1" si="1"/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794D-4047-48D5-AA24-596680D9F36C}">
  <dimension ref="A1:K24"/>
  <sheetViews>
    <sheetView tabSelected="1" workbookViewId="0">
      <selection activeCell="K12" sqref="K12"/>
    </sheetView>
  </sheetViews>
  <sheetFormatPr defaultRowHeight="18" x14ac:dyDescent="0.25"/>
  <cols>
    <col min="1" max="1" width="9.19921875" bestFit="1" customWidth="1"/>
    <col min="5" max="5" width="21.09765625" bestFit="1" customWidth="1"/>
    <col min="6" max="6" width="11.796875" bestFit="1" customWidth="1"/>
    <col min="8" max="8" width="8.8984375" bestFit="1" customWidth="1"/>
    <col min="9" max="9" width="16" bestFit="1" customWidth="1"/>
  </cols>
  <sheetData>
    <row r="1" spans="1:11" x14ac:dyDescent="0.25">
      <c r="A1" s="30" t="s">
        <v>98</v>
      </c>
      <c r="B1" s="21" t="s">
        <v>37</v>
      </c>
    </row>
    <row r="2" spans="1:11" x14ac:dyDescent="0.25">
      <c r="A2" s="30" t="s">
        <v>99</v>
      </c>
      <c r="B2" s="15" t="s">
        <v>39</v>
      </c>
    </row>
    <row r="3" spans="1:11" x14ac:dyDescent="0.25">
      <c r="C3" s="29"/>
      <c r="H3" s="4"/>
      <c r="K3" t="s">
        <v>136</v>
      </c>
    </row>
    <row r="5" spans="1:11" x14ac:dyDescent="0.25">
      <c r="C5" s="17" t="s">
        <v>0</v>
      </c>
      <c r="D5" s="17" t="s">
        <v>1</v>
      </c>
      <c r="E5" s="17" t="s">
        <v>2</v>
      </c>
      <c r="F5" s="22" t="s">
        <v>35</v>
      </c>
      <c r="G5" s="22" t="s">
        <v>22</v>
      </c>
      <c r="H5" s="17" t="s">
        <v>36</v>
      </c>
      <c r="I5" s="17" t="s">
        <v>38</v>
      </c>
    </row>
    <row r="6" spans="1:11" x14ac:dyDescent="0.25">
      <c r="C6" s="3">
        <v>44524</v>
      </c>
      <c r="D6" s="2" t="s">
        <v>3</v>
      </c>
      <c r="E6" s="2" t="s">
        <v>4</v>
      </c>
      <c r="F6" s="2" t="s">
        <v>28</v>
      </c>
      <c r="G6" s="2" t="s">
        <v>23</v>
      </c>
      <c r="H6" s="1" t="str">
        <f>UPPER(_xlfn.CONCAT(LEFT(E6,1),MID(E6,SEARCH("",E6)+1,1),RIGHT(D6,3),RIGHT(G6,2)))</f>
        <v>FL12313</v>
      </c>
      <c r="I6" s="1" t="str">
        <f>PROPER(_xlfn.CONCAT(LEFT(F6,1),".",MID(F6,SEARCH("",F6),LEN(F6))))</f>
        <v>A.Advaith Rai</v>
      </c>
    </row>
    <row r="7" spans="1:11" x14ac:dyDescent="0.25">
      <c r="C7" s="3">
        <v>44525</v>
      </c>
      <c r="D7" s="2" t="s">
        <v>3</v>
      </c>
      <c r="E7" s="2" t="s">
        <v>4</v>
      </c>
      <c r="F7" s="2" t="s">
        <v>29</v>
      </c>
      <c r="G7" s="2" t="s">
        <v>24</v>
      </c>
      <c r="H7" s="1" t="str">
        <f t="shared" ref="H7:H24" si="0">UPPER(_xlfn.CONCAT(LEFT(E7,1),MID(E7,SEARCH("",E7)+1,1),RIGHT(D7,3),RIGHT(G7,2)))</f>
        <v>FL12316</v>
      </c>
      <c r="I7" s="1" t="str">
        <f t="shared" ref="I7:I24" si="1">PROPER(_xlfn.CONCAT(LEFT(F7,1),".",MID(F7,SEARCH("",F7),LEN(F7))))</f>
        <v>I.Indrani Mehta</v>
      </c>
    </row>
    <row r="8" spans="1:11" x14ac:dyDescent="0.25">
      <c r="C8" s="3">
        <v>44526</v>
      </c>
      <c r="D8" s="2" t="s">
        <v>3</v>
      </c>
      <c r="E8" s="2" t="s">
        <v>4</v>
      </c>
      <c r="F8" s="2" t="s">
        <v>30</v>
      </c>
      <c r="G8" s="2" t="s">
        <v>25</v>
      </c>
      <c r="H8" s="1" t="str">
        <f t="shared" si="0"/>
        <v>FL12317</v>
      </c>
      <c r="I8" s="1" t="str">
        <f t="shared" si="1"/>
        <v>S.Sumit Ghosh</v>
      </c>
    </row>
    <row r="9" spans="1:11" x14ac:dyDescent="0.25">
      <c r="C9" s="3">
        <v>44529</v>
      </c>
      <c r="D9" s="2" t="s">
        <v>3</v>
      </c>
      <c r="E9" s="2" t="s">
        <v>4</v>
      </c>
      <c r="F9" s="2" t="s">
        <v>31</v>
      </c>
      <c r="G9" s="2" t="s">
        <v>26</v>
      </c>
      <c r="H9" s="1" t="str">
        <f t="shared" si="0"/>
        <v>FL12320</v>
      </c>
      <c r="I9" s="1" t="str">
        <f t="shared" si="1"/>
        <v>L.Latha Mahendra</v>
      </c>
    </row>
    <row r="10" spans="1:11" x14ac:dyDescent="0.25">
      <c r="C10" s="3">
        <v>44894</v>
      </c>
      <c r="D10" s="2" t="s">
        <v>5</v>
      </c>
      <c r="E10" s="2" t="s">
        <v>6</v>
      </c>
      <c r="F10" s="2" t="s">
        <v>32</v>
      </c>
      <c r="G10" s="2" t="s">
        <v>27</v>
      </c>
      <c r="H10" s="1" t="str">
        <f t="shared" si="0"/>
        <v>CU12421</v>
      </c>
      <c r="I10" s="1" t="str">
        <f t="shared" si="1"/>
        <v>P.Prerna Shah</v>
      </c>
    </row>
    <row r="11" spans="1:11" x14ac:dyDescent="0.25">
      <c r="C11" s="3">
        <v>44895</v>
      </c>
      <c r="D11" s="2" t="s">
        <v>5</v>
      </c>
      <c r="E11" s="2" t="s">
        <v>7</v>
      </c>
      <c r="F11" s="2" t="s">
        <v>33</v>
      </c>
      <c r="G11" s="2" t="s">
        <v>25</v>
      </c>
      <c r="H11" s="1" t="str">
        <f t="shared" si="0"/>
        <v>PR12417</v>
      </c>
      <c r="I11" s="1" t="str">
        <f t="shared" si="1"/>
        <v>S.Sumit Ghosh</v>
      </c>
    </row>
    <row r="12" spans="1:11" x14ac:dyDescent="0.25">
      <c r="C12" s="3">
        <v>44896</v>
      </c>
      <c r="D12" s="2" t="s">
        <v>5</v>
      </c>
      <c r="E12" s="2" t="s">
        <v>7</v>
      </c>
      <c r="F12" s="2" t="s">
        <v>31</v>
      </c>
      <c r="G12" s="2" t="s">
        <v>26</v>
      </c>
      <c r="H12" s="1" t="str">
        <f t="shared" si="0"/>
        <v>PR12420</v>
      </c>
      <c r="I12" s="1" t="str">
        <f t="shared" si="1"/>
        <v>L.Latha Mahendra</v>
      </c>
    </row>
    <row r="13" spans="1:11" x14ac:dyDescent="0.25">
      <c r="C13" s="3">
        <v>44897</v>
      </c>
      <c r="D13" s="2" t="s">
        <v>5</v>
      </c>
      <c r="E13" s="2" t="s">
        <v>7</v>
      </c>
      <c r="F13" s="2" t="s">
        <v>32</v>
      </c>
      <c r="G13" s="2" t="s">
        <v>27</v>
      </c>
      <c r="H13" s="1" t="str">
        <f t="shared" si="0"/>
        <v>PR12421</v>
      </c>
      <c r="I13" s="1" t="str">
        <f t="shared" si="1"/>
        <v>P.Prerna Shah</v>
      </c>
    </row>
    <row r="14" spans="1:11" x14ac:dyDescent="0.25">
      <c r="C14" s="3">
        <v>44540</v>
      </c>
      <c r="D14" s="2" t="s">
        <v>8</v>
      </c>
      <c r="E14" s="2" t="s">
        <v>9</v>
      </c>
      <c r="F14" s="2" t="s">
        <v>28</v>
      </c>
      <c r="G14" s="2" t="s">
        <v>23</v>
      </c>
      <c r="H14" s="1" t="str">
        <f t="shared" si="0"/>
        <v>MO12513</v>
      </c>
      <c r="I14" s="1" t="str">
        <f t="shared" si="1"/>
        <v>A.Advaith Rai</v>
      </c>
    </row>
    <row r="15" spans="1:11" x14ac:dyDescent="0.25">
      <c r="C15" s="3">
        <v>44543</v>
      </c>
      <c r="D15" s="2" t="s">
        <v>8</v>
      </c>
      <c r="E15" s="2" t="s">
        <v>9</v>
      </c>
      <c r="F15" s="2" t="s">
        <v>34</v>
      </c>
      <c r="G15" s="2" t="s">
        <v>24</v>
      </c>
      <c r="H15" s="1" t="str">
        <f t="shared" si="0"/>
        <v>MO12516</v>
      </c>
      <c r="I15" s="1" t="str">
        <f t="shared" si="1"/>
        <v>I.Indrani Mehta</v>
      </c>
    </row>
    <row r="16" spans="1:11" x14ac:dyDescent="0.25">
      <c r="C16" s="3">
        <v>44544</v>
      </c>
      <c r="D16" s="2" t="s">
        <v>8</v>
      </c>
      <c r="E16" s="2" t="s">
        <v>9</v>
      </c>
      <c r="F16" s="2" t="s">
        <v>34</v>
      </c>
      <c r="G16" s="2" t="s">
        <v>24</v>
      </c>
      <c r="H16" s="1" t="str">
        <f t="shared" si="0"/>
        <v>MO12516</v>
      </c>
      <c r="I16" s="1" t="str">
        <f t="shared" si="1"/>
        <v>I.Indrani Mehta</v>
      </c>
    </row>
    <row r="17" spans="3:9" x14ac:dyDescent="0.25">
      <c r="C17" s="3">
        <v>44928</v>
      </c>
      <c r="D17" s="2" t="s">
        <v>10</v>
      </c>
      <c r="E17" s="2" t="s">
        <v>9</v>
      </c>
      <c r="F17" s="2" t="s">
        <v>31</v>
      </c>
      <c r="G17" s="2" t="s">
        <v>26</v>
      </c>
      <c r="H17" s="1" t="str">
        <f t="shared" si="0"/>
        <v>MO12620</v>
      </c>
      <c r="I17" s="1" t="str">
        <f t="shared" si="1"/>
        <v>L.Latha Mahendra</v>
      </c>
    </row>
    <row r="18" spans="3:9" x14ac:dyDescent="0.25">
      <c r="C18" s="3">
        <v>44959</v>
      </c>
      <c r="D18" s="2" t="s">
        <v>10</v>
      </c>
      <c r="E18" s="2" t="s">
        <v>7</v>
      </c>
      <c r="F18" s="2" t="s">
        <v>32</v>
      </c>
      <c r="G18" s="2" t="s">
        <v>27</v>
      </c>
      <c r="H18" s="1" t="str">
        <f t="shared" si="0"/>
        <v>PR12621</v>
      </c>
      <c r="I18" s="1" t="str">
        <f t="shared" si="1"/>
        <v>P.Prerna Shah</v>
      </c>
    </row>
    <row r="19" spans="3:9" x14ac:dyDescent="0.25">
      <c r="C19" s="3">
        <v>44987</v>
      </c>
      <c r="D19" s="2" t="s">
        <v>10</v>
      </c>
      <c r="E19" s="2" t="s">
        <v>7</v>
      </c>
      <c r="F19" s="2" t="s">
        <v>33</v>
      </c>
      <c r="G19" s="2" t="s">
        <v>25</v>
      </c>
      <c r="H19" s="1" t="str">
        <f t="shared" si="0"/>
        <v>PR12617</v>
      </c>
      <c r="I19" s="1" t="str">
        <f t="shared" si="1"/>
        <v>S.Sumit Ghosh</v>
      </c>
    </row>
    <row r="20" spans="3:9" x14ac:dyDescent="0.25">
      <c r="C20" s="3">
        <v>45018</v>
      </c>
      <c r="D20" s="2" t="s">
        <v>10</v>
      </c>
      <c r="E20" s="2" t="s">
        <v>9</v>
      </c>
      <c r="F20" s="2" t="s">
        <v>32</v>
      </c>
      <c r="G20" s="2" t="s">
        <v>27</v>
      </c>
      <c r="H20" s="1" t="str">
        <f t="shared" si="0"/>
        <v>MO12621</v>
      </c>
      <c r="I20" s="1" t="str">
        <f t="shared" si="1"/>
        <v>P.Prerna Shah</v>
      </c>
    </row>
    <row r="21" spans="3:9" x14ac:dyDescent="0.25">
      <c r="C21" s="3">
        <v>45048</v>
      </c>
      <c r="D21" s="2" t="s">
        <v>10</v>
      </c>
      <c r="E21" s="2" t="s">
        <v>11</v>
      </c>
      <c r="F21" s="2" t="s">
        <v>28</v>
      </c>
      <c r="G21" s="2" t="s">
        <v>23</v>
      </c>
      <c r="H21" s="1" t="str">
        <f t="shared" si="0"/>
        <v>RO12613</v>
      </c>
      <c r="I21" s="1" t="str">
        <f t="shared" si="1"/>
        <v>A.Advaith Rai</v>
      </c>
    </row>
    <row r="22" spans="3:9" x14ac:dyDescent="0.25">
      <c r="C22" s="3">
        <v>45079</v>
      </c>
      <c r="D22" s="2" t="s">
        <v>10</v>
      </c>
      <c r="E22" s="2" t="s">
        <v>11</v>
      </c>
      <c r="F22" s="2" t="s">
        <v>34</v>
      </c>
      <c r="G22" s="2" t="s">
        <v>24</v>
      </c>
      <c r="H22" s="1" t="str">
        <f t="shared" si="0"/>
        <v>RO12616</v>
      </c>
      <c r="I22" s="1" t="str">
        <f t="shared" si="1"/>
        <v>I.Indrani Mehta</v>
      </c>
    </row>
    <row r="23" spans="3:9" x14ac:dyDescent="0.25">
      <c r="C23" s="3">
        <v>44547</v>
      </c>
      <c r="D23" s="2" t="s">
        <v>12</v>
      </c>
      <c r="E23" s="2" t="s">
        <v>13</v>
      </c>
      <c r="F23" s="2" t="s">
        <v>31</v>
      </c>
      <c r="G23" s="2" t="s">
        <v>26</v>
      </c>
      <c r="H23" s="1" t="str">
        <f t="shared" si="0"/>
        <v>LA12720</v>
      </c>
      <c r="I23" s="1" t="str">
        <f t="shared" si="1"/>
        <v>L.Latha Mahendra</v>
      </c>
    </row>
    <row r="24" spans="3:9" x14ac:dyDescent="0.25">
      <c r="C24" s="3">
        <v>44550</v>
      </c>
      <c r="D24" s="2" t="s">
        <v>12</v>
      </c>
      <c r="E24" s="2" t="s">
        <v>13</v>
      </c>
      <c r="F24" s="2" t="s">
        <v>32</v>
      </c>
      <c r="G24" s="2" t="s">
        <v>27</v>
      </c>
      <c r="H24" s="1" t="str">
        <f t="shared" si="0"/>
        <v>LA12721</v>
      </c>
      <c r="I24" s="1" t="str">
        <f t="shared" si="1"/>
        <v>P.Prerna Shah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9AD9-C552-4A60-AC14-DC09EB8D8863}">
  <dimension ref="A1:L35"/>
  <sheetViews>
    <sheetView topLeftCell="A19" workbookViewId="0">
      <selection activeCell="F34" sqref="F34"/>
    </sheetView>
  </sheetViews>
  <sheetFormatPr defaultRowHeight="18" x14ac:dyDescent="0.25"/>
  <cols>
    <col min="1" max="1" width="13.796875" bestFit="1" customWidth="1"/>
    <col min="8" max="8" width="9.69921875" customWidth="1"/>
    <col min="9" max="9" width="12.19921875" bestFit="1" customWidth="1"/>
    <col min="13" max="13" width="9.59765625" customWidth="1"/>
  </cols>
  <sheetData>
    <row r="1" spans="1:10" x14ac:dyDescent="0.25">
      <c r="A1" s="7" t="s">
        <v>88</v>
      </c>
      <c r="B1" s="42" t="s">
        <v>130</v>
      </c>
      <c r="C1" s="42"/>
      <c r="D1" s="42"/>
      <c r="E1" s="42"/>
      <c r="F1" s="42"/>
    </row>
    <row r="3" spans="1:10" x14ac:dyDescent="0.25">
      <c r="A3" s="1">
        <v>11</v>
      </c>
      <c r="B3" s="61">
        <v>22</v>
      </c>
      <c r="C3" s="1">
        <v>33</v>
      </c>
      <c r="E3" s="1" t="s">
        <v>104</v>
      </c>
      <c r="F3" s="1" t="s">
        <v>105</v>
      </c>
      <c r="G3" s="1" t="s">
        <v>80</v>
      </c>
      <c r="H3" s="1" t="s">
        <v>105</v>
      </c>
    </row>
    <row r="4" spans="1:10" x14ac:dyDescent="0.25">
      <c r="A4" s="61">
        <v>4</v>
      </c>
      <c r="B4" s="1">
        <v>5</v>
      </c>
      <c r="C4" s="1">
        <v>6</v>
      </c>
      <c r="E4" s="1" t="s">
        <v>106</v>
      </c>
      <c r="F4" s="1" t="s">
        <v>107</v>
      </c>
      <c r="G4" s="1" t="s">
        <v>79</v>
      </c>
      <c r="H4" s="1" t="s">
        <v>107</v>
      </c>
    </row>
    <row r="5" spans="1:10" x14ac:dyDescent="0.25">
      <c r="A5" s="1">
        <v>28</v>
      </c>
      <c r="B5" s="1">
        <v>56</v>
      </c>
      <c r="C5" s="47">
        <v>78</v>
      </c>
    </row>
    <row r="6" spans="1:10" x14ac:dyDescent="0.25">
      <c r="A6" s="47">
        <v>31</v>
      </c>
      <c r="B6" s="1">
        <v>23</v>
      </c>
      <c r="C6" s="1">
        <v>45</v>
      </c>
    </row>
    <row r="7" spans="1:10" x14ac:dyDescent="0.25">
      <c r="D7" t="s">
        <v>111</v>
      </c>
      <c r="G7">
        <f ca="1">OFFSET(A4,1,2)</f>
        <v>78</v>
      </c>
    </row>
    <row r="8" spans="1:10" x14ac:dyDescent="0.25">
      <c r="A8" s="1" t="s">
        <v>108</v>
      </c>
      <c r="B8" s="1">
        <v>45</v>
      </c>
      <c r="C8" s="25"/>
      <c r="D8" s="1"/>
      <c r="G8">
        <f ca="1">OFFSET(B3,3,-1)</f>
        <v>31</v>
      </c>
    </row>
    <row r="9" spans="1:10" x14ac:dyDescent="0.25">
      <c r="A9" s="1" t="s">
        <v>109</v>
      </c>
      <c r="B9" s="1">
        <v>22</v>
      </c>
      <c r="C9" s="1"/>
    </row>
    <row r="11" spans="1:10" x14ac:dyDescent="0.25">
      <c r="A11" s="1">
        <v>11</v>
      </c>
      <c r="B11" s="1">
        <v>22</v>
      </c>
      <c r="C11" s="1">
        <v>33</v>
      </c>
    </row>
    <row r="12" spans="1:10" x14ac:dyDescent="0.25">
      <c r="A12" s="49">
        <v>4</v>
      </c>
      <c r="B12" s="1">
        <v>5</v>
      </c>
      <c r="C12" s="1">
        <v>6</v>
      </c>
      <c r="G12" s="48" cm="1">
        <f t="array" aca="1" ref="G12:H13" ca="1">OFFSET(A11,1,1,2,2)</f>
        <v>5</v>
      </c>
      <c r="H12">
        <f ca="1"/>
        <v>6</v>
      </c>
    </row>
    <row r="13" spans="1:10" x14ac:dyDescent="0.25">
      <c r="A13" s="1">
        <v>28</v>
      </c>
      <c r="B13" s="49">
        <v>56</v>
      </c>
      <c r="C13" s="49">
        <v>78</v>
      </c>
      <c r="D13" s="50">
        <v>45</v>
      </c>
      <c r="G13">
        <f ca="1"/>
        <v>56</v>
      </c>
      <c r="H13">
        <f ca="1"/>
        <v>78</v>
      </c>
    </row>
    <row r="14" spans="1:10" x14ac:dyDescent="0.25">
      <c r="A14" s="1">
        <v>31</v>
      </c>
      <c r="B14" s="49">
        <v>22</v>
      </c>
      <c r="C14" s="49">
        <v>45</v>
      </c>
      <c r="D14" s="50">
        <v>33</v>
      </c>
    </row>
    <row r="15" spans="1:10" x14ac:dyDescent="0.25">
      <c r="D15" s="68" t="s">
        <v>110</v>
      </c>
      <c r="E15" s="68"/>
      <c r="G15" s="48">
        <f ca="1">SUM(OFFSET(A11,1,1,2,2))</f>
        <v>145</v>
      </c>
    </row>
    <row r="16" spans="1:10" x14ac:dyDescent="0.25">
      <c r="A16" s="1" t="s">
        <v>108</v>
      </c>
      <c r="B16" s="1"/>
      <c r="C16" s="1"/>
      <c r="D16" s="1"/>
      <c r="E16" s="1"/>
      <c r="G16" t="s">
        <v>181</v>
      </c>
      <c r="J16" s="48"/>
    </row>
    <row r="17" spans="1:12" x14ac:dyDescent="0.25">
      <c r="A17" s="1" t="s">
        <v>109</v>
      </c>
      <c r="B17" s="1"/>
      <c r="C17" s="1"/>
      <c r="D17" s="1"/>
      <c r="E17" s="1"/>
    </row>
    <row r="19" spans="1:12" x14ac:dyDescent="0.25">
      <c r="A19" s="7" t="s">
        <v>53</v>
      </c>
    </row>
    <row r="20" spans="1:12" x14ac:dyDescent="0.25">
      <c r="I20" s="41" t="s">
        <v>128</v>
      </c>
    </row>
    <row r="21" spans="1:12" x14ac:dyDescent="0.25">
      <c r="A21" s="33" t="s">
        <v>112</v>
      </c>
      <c r="B21" s="33" t="s">
        <v>113</v>
      </c>
      <c r="C21" s="33" t="s">
        <v>114</v>
      </c>
      <c r="D21" s="33" t="s">
        <v>115</v>
      </c>
      <c r="E21" s="33" t="s">
        <v>116</v>
      </c>
      <c r="F21" s="33" t="s">
        <v>117</v>
      </c>
      <c r="G21" s="34" t="s">
        <v>118</v>
      </c>
      <c r="I21" s="33" t="s">
        <v>112</v>
      </c>
      <c r="J21" s="35" t="s">
        <v>119</v>
      </c>
    </row>
    <row r="22" spans="1:12" x14ac:dyDescent="0.25">
      <c r="A22" s="36" t="s">
        <v>119</v>
      </c>
      <c r="B22" s="36">
        <v>55</v>
      </c>
      <c r="C22" s="36">
        <v>225</v>
      </c>
      <c r="D22" s="36">
        <v>171</v>
      </c>
      <c r="E22" s="36">
        <v>163</v>
      </c>
      <c r="F22" s="36">
        <v>126</v>
      </c>
      <c r="G22" s="37">
        <v>189</v>
      </c>
      <c r="I22" s="33" t="s">
        <v>120</v>
      </c>
      <c r="J22" s="35" t="s">
        <v>116</v>
      </c>
    </row>
    <row r="23" spans="1:12" x14ac:dyDescent="0.25">
      <c r="A23" s="36" t="s">
        <v>121</v>
      </c>
      <c r="B23" s="36">
        <v>109</v>
      </c>
      <c r="C23" s="36">
        <v>102</v>
      </c>
      <c r="D23" s="36">
        <v>184</v>
      </c>
      <c r="E23" s="36">
        <v>123</v>
      </c>
      <c r="F23" s="36">
        <v>66</v>
      </c>
      <c r="G23" s="37">
        <v>86</v>
      </c>
      <c r="I23" s="33" t="s">
        <v>122</v>
      </c>
      <c r="J23" s="38">
        <f ca="1">OFFSET(A21,1,4)</f>
        <v>163</v>
      </c>
      <c r="L23" s="48"/>
    </row>
    <row r="24" spans="1:12" x14ac:dyDescent="0.25">
      <c r="A24" s="36" t="s">
        <v>123</v>
      </c>
      <c r="B24" s="36">
        <v>93</v>
      </c>
      <c r="C24" s="36">
        <v>130</v>
      </c>
      <c r="D24" s="36">
        <v>133</v>
      </c>
      <c r="E24" s="36">
        <v>142</v>
      </c>
      <c r="F24" s="36">
        <v>128</v>
      </c>
      <c r="G24" s="37">
        <v>85</v>
      </c>
      <c r="L24" s="48"/>
    </row>
    <row r="25" spans="1:12" x14ac:dyDescent="0.25">
      <c r="A25" s="36" t="s">
        <v>124</v>
      </c>
      <c r="B25" s="36">
        <v>173</v>
      </c>
      <c r="C25" s="36">
        <v>157</v>
      </c>
      <c r="D25" s="36">
        <v>97</v>
      </c>
      <c r="E25" s="36">
        <v>105</v>
      </c>
      <c r="F25" s="36">
        <v>238</v>
      </c>
      <c r="G25" s="37">
        <v>249</v>
      </c>
      <c r="I25" s="41" t="s">
        <v>129</v>
      </c>
      <c r="J25" s="39"/>
    </row>
    <row r="26" spans="1:12" x14ac:dyDescent="0.25">
      <c r="A26" s="36" t="s">
        <v>125</v>
      </c>
      <c r="B26" s="36">
        <v>153</v>
      </c>
      <c r="C26" s="36">
        <v>209</v>
      </c>
      <c r="D26" s="36">
        <v>54</v>
      </c>
      <c r="E26" s="36">
        <v>104</v>
      </c>
      <c r="F26" s="36">
        <v>131</v>
      </c>
      <c r="G26" s="37">
        <v>108</v>
      </c>
      <c r="I26" s="33" t="s">
        <v>112</v>
      </c>
      <c r="J26" s="1" t="s">
        <v>124</v>
      </c>
    </row>
    <row r="27" spans="1:12" x14ac:dyDescent="0.25">
      <c r="A27" s="36" t="s">
        <v>126</v>
      </c>
      <c r="B27" s="36">
        <v>112</v>
      </c>
      <c r="C27" s="36">
        <v>73</v>
      </c>
      <c r="D27" s="36">
        <v>215</v>
      </c>
      <c r="E27" s="36">
        <v>162</v>
      </c>
      <c r="F27" s="36">
        <v>130</v>
      </c>
      <c r="G27" s="37">
        <v>56</v>
      </c>
      <c r="I27" s="33" t="s">
        <v>120</v>
      </c>
      <c r="J27" s="1" t="s">
        <v>114</v>
      </c>
      <c r="L27" s="48"/>
    </row>
    <row r="28" spans="1:12" x14ac:dyDescent="0.25">
      <c r="A28" s="10" t="s">
        <v>127</v>
      </c>
      <c r="B28" s="10">
        <v>207</v>
      </c>
      <c r="C28" s="40">
        <v>59</v>
      </c>
      <c r="D28" s="40">
        <v>68</v>
      </c>
      <c r="E28" s="40">
        <v>120</v>
      </c>
      <c r="F28" s="40">
        <v>148</v>
      </c>
      <c r="G28" s="10">
        <v>59</v>
      </c>
      <c r="I28" s="33" t="s">
        <v>122</v>
      </c>
      <c r="J28" s="38"/>
      <c r="L28" s="48"/>
    </row>
    <row r="29" spans="1:12" x14ac:dyDescent="0.25">
      <c r="B29" s="52"/>
      <c r="J29" s="39"/>
      <c r="L29" s="48"/>
    </row>
    <row r="30" spans="1:12" x14ac:dyDescent="0.25">
      <c r="B30" s="52"/>
    </row>
    <row r="31" spans="1:12" x14ac:dyDescent="0.25">
      <c r="B31" s="52"/>
      <c r="I31" s="63" t="s">
        <v>182</v>
      </c>
    </row>
    <row r="32" spans="1:12" x14ac:dyDescent="0.25">
      <c r="B32" s="52"/>
      <c r="I32" s="62" t="s">
        <v>121</v>
      </c>
      <c r="J32" s="64" t="s">
        <v>183</v>
      </c>
    </row>
    <row r="33" spans="3:10" x14ac:dyDescent="0.25">
      <c r="J33" s="39"/>
    </row>
    <row r="34" spans="3:10" x14ac:dyDescent="0.25">
      <c r="F34" t="s">
        <v>181</v>
      </c>
    </row>
    <row r="35" spans="3:10" x14ac:dyDescent="0.25">
      <c r="C35" s="48"/>
    </row>
  </sheetData>
  <mergeCells count="1">
    <mergeCell ref="D15:E15"/>
  </mergeCells>
  <dataValidations count="2">
    <dataValidation type="list" allowBlank="1" showInputMessage="1" showErrorMessage="1" sqref="J26" xr:uid="{791D4572-422E-4B3D-A8FF-62C8FD0777D6}">
      <formula1>person_name</formula1>
    </dataValidation>
    <dataValidation type="list" allowBlank="1" showInputMessage="1" showErrorMessage="1" sqref="J27" xr:uid="{A39610B7-AAB0-4BF5-8776-7115B6204EC7}">
      <formula1>months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A73B-F224-481E-BC5C-3C65961D8D5C}">
  <dimension ref="A1:H13"/>
  <sheetViews>
    <sheetView workbookViewId="0">
      <selection activeCell="E15" sqref="E15"/>
    </sheetView>
  </sheetViews>
  <sheetFormatPr defaultRowHeight="18" x14ac:dyDescent="0.25"/>
  <cols>
    <col min="1" max="1" width="18.19921875" bestFit="1" customWidth="1"/>
    <col min="2" max="2" width="30.69921875" bestFit="1" customWidth="1"/>
    <col min="3" max="3" width="11.19921875" bestFit="1" customWidth="1"/>
    <col min="5" max="5" width="30.69921875" bestFit="1" customWidth="1"/>
  </cols>
  <sheetData>
    <row r="1" spans="1:8" x14ac:dyDescent="0.25">
      <c r="A1" s="12" t="s">
        <v>131</v>
      </c>
      <c r="E1" s="45" t="s">
        <v>134</v>
      </c>
    </row>
    <row r="3" spans="1:8" x14ac:dyDescent="0.25">
      <c r="A3" s="1" t="s">
        <v>132</v>
      </c>
      <c r="B3" s="44" t="s">
        <v>142</v>
      </c>
      <c r="E3" s="46" t="s">
        <v>135</v>
      </c>
      <c r="H3" t="s">
        <v>141</v>
      </c>
    </row>
    <row r="4" spans="1:8" x14ac:dyDescent="0.25">
      <c r="A4" s="1" t="s">
        <v>133</v>
      </c>
      <c r="B4" s="25" t="str" cm="1">
        <f t="array" aca="1" ref="B4" ca="1">INDIRECT(B3)</f>
        <v>"hello h3"</v>
      </c>
    </row>
    <row r="6" spans="1:8" x14ac:dyDescent="0.25">
      <c r="A6" t="s">
        <v>143</v>
      </c>
    </row>
    <row r="8" spans="1:8" x14ac:dyDescent="0.25">
      <c r="A8" t="s">
        <v>139</v>
      </c>
    </row>
    <row r="9" spans="1:8" x14ac:dyDescent="0.25">
      <c r="A9" t="s">
        <v>165</v>
      </c>
      <c r="B9" s="48"/>
    </row>
    <row r="10" spans="1:8" x14ac:dyDescent="0.25">
      <c r="A10" t="s">
        <v>138</v>
      </c>
      <c r="B10" s="48"/>
    </row>
    <row r="11" spans="1:8" x14ac:dyDescent="0.25">
      <c r="B11" s="32"/>
    </row>
    <row r="12" spans="1:8" x14ac:dyDescent="0.25">
      <c r="B12" s="48"/>
      <c r="C12" s="5"/>
    </row>
    <row r="13" spans="1:8" x14ac:dyDescent="0.25">
      <c r="B13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2A39-2A14-4D85-8B5D-E6EE19C21EA7}">
  <dimension ref="A1:J25"/>
  <sheetViews>
    <sheetView zoomScale="83" zoomScaleNormal="130" workbookViewId="0">
      <selection activeCell="J4" sqref="J4"/>
    </sheetView>
  </sheetViews>
  <sheetFormatPr defaultRowHeight="18" x14ac:dyDescent="0.25"/>
  <cols>
    <col min="1" max="1" width="18.09765625" customWidth="1"/>
    <col min="2" max="2" width="17.59765625" customWidth="1"/>
    <col min="3" max="3" width="18.796875" bestFit="1" customWidth="1"/>
    <col min="4" max="4" width="16.19921875" customWidth="1"/>
    <col min="5" max="5" width="12.19921875" customWidth="1"/>
    <col min="6" max="6" width="10" bestFit="1" customWidth="1"/>
    <col min="7" max="7" width="7.09765625" bestFit="1" customWidth="1"/>
    <col min="8" max="8" width="13.69921875" bestFit="1" customWidth="1"/>
    <col min="9" max="9" width="12.3984375" bestFit="1" customWidth="1"/>
    <col min="10" max="10" width="15.3984375" style="23" bestFit="1" customWidth="1"/>
    <col min="11" max="11" width="17.09765625" bestFit="1" customWidth="1"/>
    <col min="12" max="12" width="24.8984375" bestFit="1" customWidth="1"/>
    <col min="13" max="13" width="20.5" bestFit="1" customWidth="1"/>
  </cols>
  <sheetData>
    <row r="1" spans="1:9" x14ac:dyDescent="0.25">
      <c r="H1" t="s">
        <v>144</v>
      </c>
    </row>
    <row r="2" spans="1:9" x14ac:dyDescent="0.25">
      <c r="A2" s="1"/>
      <c r="B2" s="26" t="s">
        <v>79</v>
      </c>
      <c r="C2" s="26" t="s">
        <v>80</v>
      </c>
      <c r="D2" s="26" t="s">
        <v>81</v>
      </c>
      <c r="E2" s="69" t="s">
        <v>95</v>
      </c>
      <c r="F2" s="70"/>
      <c r="G2" s="71" t="s">
        <v>96</v>
      </c>
      <c r="H2" s="71"/>
      <c r="I2" s="27"/>
    </row>
    <row r="3" spans="1:9" x14ac:dyDescent="0.25">
      <c r="A3" s="1" t="s">
        <v>82</v>
      </c>
      <c r="B3" s="25" t="str">
        <f>LEFT(A3,2)</f>
        <v>Sm</v>
      </c>
      <c r="C3" s="25" t="str">
        <f>RIGHT(A3,3)</f>
        <v>art</v>
      </c>
      <c r="D3" s="25" t="str">
        <f>MID(A3,2,3)</f>
        <v>mar</v>
      </c>
      <c r="E3" s="25" t="str">
        <f>_xlfn.CONCAT(B3,C3,D3)</f>
        <v>Smartmar</v>
      </c>
      <c r="F3" s="25"/>
      <c r="G3" s="25"/>
      <c r="H3" s="25"/>
    </row>
    <row r="4" spans="1:9" x14ac:dyDescent="0.25">
      <c r="A4" s="1" t="s">
        <v>83</v>
      </c>
      <c r="B4" s="25" t="str">
        <f t="shared" ref="B4:B9" si="0">LEFT(A4,2)</f>
        <v>Be</v>
      </c>
      <c r="C4" s="25" t="str">
        <f t="shared" ref="C4:C9" si="1">RIGHT(A4,3)</f>
        <v>ful</v>
      </c>
      <c r="D4" s="25" t="str">
        <f t="shared" ref="D4:D9" si="2">MID(A4,2,3)</f>
        <v>eau</v>
      </c>
      <c r="E4" s="25" t="str">
        <f t="shared" ref="E4:E9" si="3">_xlfn.CONCAT(B4,C4,D4)</f>
        <v>Befuleau</v>
      </c>
      <c r="F4" s="25"/>
      <c r="G4" s="1"/>
      <c r="H4" s="1"/>
    </row>
    <row r="5" spans="1:9" x14ac:dyDescent="0.25">
      <c r="A5" s="1" t="s">
        <v>145</v>
      </c>
      <c r="B5" s="25" t="str">
        <f t="shared" si="0"/>
        <v xml:space="preserve">  </v>
      </c>
      <c r="C5" s="25" t="str">
        <f t="shared" si="1"/>
        <v>ing</v>
      </c>
      <c r="D5" s="25" t="str">
        <f t="shared" si="2"/>
        <v xml:space="preserve">  d</v>
      </c>
      <c r="E5" s="25" t="str">
        <f t="shared" si="3"/>
        <v xml:space="preserve">  ing  d</v>
      </c>
      <c r="F5" s="25"/>
      <c r="G5" s="1"/>
      <c r="H5" s="1"/>
    </row>
    <row r="6" spans="1:9" x14ac:dyDescent="0.25">
      <c r="A6" s="1" t="s">
        <v>84</v>
      </c>
      <c r="B6" s="25" t="str">
        <f t="shared" si="0"/>
        <v>Go</v>
      </c>
      <c r="C6" s="25" t="str">
        <f t="shared" si="1"/>
        <v>ous</v>
      </c>
      <c r="D6" s="25" t="str">
        <f t="shared" si="2"/>
        <v>org</v>
      </c>
      <c r="E6" s="25" t="str">
        <f t="shared" si="3"/>
        <v>Goousorg</v>
      </c>
      <c r="F6" s="25"/>
      <c r="G6" s="1"/>
      <c r="H6" s="1"/>
    </row>
    <row r="7" spans="1:9" x14ac:dyDescent="0.25">
      <c r="A7" s="1" t="s">
        <v>85</v>
      </c>
      <c r="B7" s="25" t="str">
        <f t="shared" si="0"/>
        <v>Pe</v>
      </c>
      <c r="C7" s="25" t="str">
        <f t="shared" si="1"/>
        <v>ect</v>
      </c>
      <c r="D7" s="25" t="str">
        <f t="shared" si="2"/>
        <v>erf</v>
      </c>
      <c r="E7" s="25" t="str">
        <f t="shared" si="3"/>
        <v>Peecterf</v>
      </c>
      <c r="F7" s="25"/>
      <c r="G7" s="1"/>
      <c r="H7" s="1"/>
    </row>
    <row r="8" spans="1:9" x14ac:dyDescent="0.25">
      <c r="A8" s="1" t="s">
        <v>86</v>
      </c>
      <c r="B8" s="25" t="str">
        <f t="shared" si="0"/>
        <v>Ex</v>
      </c>
      <c r="C8" s="25" t="str">
        <f t="shared" si="1"/>
        <v>ent</v>
      </c>
      <c r="D8" s="25" t="str">
        <f t="shared" si="2"/>
        <v>xce</v>
      </c>
      <c r="E8" s="25" t="str">
        <f t="shared" si="3"/>
        <v>Exentxce</v>
      </c>
      <c r="F8" s="25"/>
      <c r="G8" s="1"/>
      <c r="H8" s="1"/>
    </row>
    <row r="9" spans="1:9" x14ac:dyDescent="0.25">
      <c r="A9" s="1" t="s">
        <v>87</v>
      </c>
      <c r="B9" s="25" t="str">
        <f t="shared" si="0"/>
        <v>Aw</v>
      </c>
      <c r="C9" s="25" t="str">
        <f t="shared" si="1"/>
        <v>ome</v>
      </c>
      <c r="D9" s="25" t="str">
        <f t="shared" si="2"/>
        <v>wes</v>
      </c>
      <c r="E9" s="25" t="str">
        <f t="shared" si="3"/>
        <v>Awomewes</v>
      </c>
      <c r="F9" s="25"/>
      <c r="G9" s="1"/>
      <c r="H9" s="1"/>
    </row>
    <row r="10" spans="1:9" x14ac:dyDescent="0.25">
      <c r="B10" s="48" t="str">
        <f t="shared" ref="B10:B11" si="4">LEFT(A10,3)</f>
        <v/>
      </c>
      <c r="C10" s="48" t="str">
        <f t="shared" ref="C10:C11" si="5">RIGHT(A10,3)</f>
        <v/>
      </c>
      <c r="G10" t="str">
        <f t="shared" ref="G10:G11" si="6">B10&amp;C10</f>
        <v/>
      </c>
    </row>
    <row r="11" spans="1:9" x14ac:dyDescent="0.25">
      <c r="B11" s="48" t="str">
        <f t="shared" si="4"/>
        <v/>
      </c>
      <c r="C11" s="48" t="str">
        <f t="shared" si="5"/>
        <v/>
      </c>
      <c r="G11" t="str">
        <f t="shared" si="6"/>
        <v/>
      </c>
      <c r="H11">
        <v>91122442131</v>
      </c>
      <c r="I11" t="str">
        <f>_xlfn.CONCAT(LEFT(H11,2)," ",MID(H11,3,10))</f>
        <v>91 122442131</v>
      </c>
    </row>
    <row r="12" spans="1:9" x14ac:dyDescent="0.25">
      <c r="A12" s="23"/>
      <c r="B12" t="s">
        <v>150</v>
      </c>
    </row>
    <row r="13" spans="1:9" x14ac:dyDescent="0.25">
      <c r="A13" s="23"/>
      <c r="B13" t="s">
        <v>149</v>
      </c>
    </row>
    <row r="14" spans="1:9" x14ac:dyDescent="0.25">
      <c r="A14" s="28"/>
      <c r="B14" s="1" t="s">
        <v>93</v>
      </c>
      <c r="C14" s="1" t="s">
        <v>94</v>
      </c>
      <c r="D14" s="1" t="s">
        <v>97</v>
      </c>
      <c r="E14" s="1" t="s">
        <v>136</v>
      </c>
      <c r="F14" s="1" t="s">
        <v>180</v>
      </c>
    </row>
    <row r="15" spans="1:9" x14ac:dyDescent="0.25">
      <c r="A15" s="24" t="s">
        <v>146</v>
      </c>
      <c r="B15" s="25" t="str">
        <f>TRIM(A15)</f>
        <v>Raymondekar Roa</v>
      </c>
      <c r="C15" s="25" t="str">
        <f>PROPER(A15)</f>
        <v>Raymondekar      Roa</v>
      </c>
      <c r="D15" s="25">
        <f>LEN(A15)</f>
        <v>20</v>
      </c>
      <c r="E15" s="1">
        <f>IFERROR(FIND("r",B15),"Not available")</f>
        <v>11</v>
      </c>
      <c r="F15" s="1">
        <f>SEARCH("R",A15,3)</f>
        <v>11</v>
      </c>
    </row>
    <row r="16" spans="1:9" x14ac:dyDescent="0.25">
      <c r="A16" s="24" t="s">
        <v>89</v>
      </c>
      <c r="B16" s="25" t="str">
        <f t="shared" ref="B16:B25" si="7">TRIM(A16)</f>
        <v>Shinde</v>
      </c>
      <c r="C16" s="25" t="str">
        <f t="shared" ref="C16:C25" si="8">PROPER(A16)</f>
        <v xml:space="preserve">          Shinde</v>
      </c>
      <c r="D16" s="25">
        <f t="shared" ref="D16:D25" si="9">LEN(A16)</f>
        <v>16</v>
      </c>
      <c r="E16" s="1" t="str">
        <f t="shared" ref="E16:E25" si="10">IFERROR(FIND("r",B16),"Not available")</f>
        <v>Not available</v>
      </c>
      <c r="F16" s="1" t="e">
        <f t="shared" ref="F16:F25" si="11">SEARCH("R",A16,3)</f>
        <v>#VALUE!</v>
      </c>
    </row>
    <row r="17" spans="1:6" x14ac:dyDescent="0.25">
      <c r="A17" s="24" t="s">
        <v>90</v>
      </c>
      <c r="B17" s="25" t="str">
        <f t="shared" si="7"/>
        <v>Sharma Rahul</v>
      </c>
      <c r="C17" s="25" t="str">
        <f t="shared" si="8"/>
        <v>Sharma   Rahul</v>
      </c>
      <c r="D17" s="25">
        <f t="shared" si="9"/>
        <v>14</v>
      </c>
      <c r="E17" s="1">
        <f t="shared" si="10"/>
        <v>4</v>
      </c>
      <c r="F17" s="1">
        <f t="shared" si="11"/>
        <v>4</v>
      </c>
    </row>
    <row r="18" spans="1:6" x14ac:dyDescent="0.25">
      <c r="A18" s="24" t="s">
        <v>91</v>
      </c>
      <c r="B18" s="25" t="str">
        <f t="shared" si="7"/>
        <v>Mavadia ramesh</v>
      </c>
      <c r="C18" s="25" t="str">
        <f t="shared" si="8"/>
        <v>Mavadia Ramesh</v>
      </c>
      <c r="D18" s="25">
        <f t="shared" si="9"/>
        <v>14</v>
      </c>
      <c r="E18" s="1">
        <f t="shared" si="10"/>
        <v>9</v>
      </c>
      <c r="F18" s="1">
        <f t="shared" si="11"/>
        <v>9</v>
      </c>
    </row>
    <row r="19" spans="1:6" x14ac:dyDescent="0.25">
      <c r="A19" s="24" t="s">
        <v>148</v>
      </c>
      <c r="B19" s="25" t="str">
        <f t="shared" si="7"/>
        <v>Ranganathan anjali</v>
      </c>
      <c r="C19" s="25" t="str">
        <f t="shared" si="8"/>
        <v>Ranganathan       Anjali</v>
      </c>
      <c r="D19" s="25">
        <f t="shared" si="9"/>
        <v>24</v>
      </c>
      <c r="E19" s="1" t="str">
        <f t="shared" si="10"/>
        <v>Not available</v>
      </c>
      <c r="F19" s="1" t="e">
        <f t="shared" si="11"/>
        <v>#VALUE!</v>
      </c>
    </row>
    <row r="20" spans="1:6" x14ac:dyDescent="0.25">
      <c r="A20" s="24" t="s">
        <v>147</v>
      </c>
      <c r="B20" s="25" t="str">
        <f t="shared" si="7"/>
        <v>D'Souza</v>
      </c>
      <c r="C20" s="25" t="str">
        <f t="shared" si="8"/>
        <v xml:space="preserve">       D'Souza</v>
      </c>
      <c r="D20" s="25">
        <f t="shared" si="9"/>
        <v>14</v>
      </c>
      <c r="E20" s="1" t="str">
        <f t="shared" si="10"/>
        <v>Not available</v>
      </c>
      <c r="F20" s="1" t="e">
        <f t="shared" si="11"/>
        <v>#VALUE!</v>
      </c>
    </row>
    <row r="21" spans="1:6" x14ac:dyDescent="0.25">
      <c r="A21" s="24" t="s">
        <v>92</v>
      </c>
      <c r="B21" s="25" t="str">
        <f t="shared" si="7"/>
        <v>jain Seema</v>
      </c>
      <c r="C21" s="25" t="str">
        <f t="shared" si="8"/>
        <v>Jain Seema</v>
      </c>
      <c r="D21" s="25">
        <f t="shared" si="9"/>
        <v>10</v>
      </c>
      <c r="E21" s="1" t="str">
        <f t="shared" si="10"/>
        <v>Not available</v>
      </c>
      <c r="F21" s="1" t="e">
        <f t="shared" si="11"/>
        <v>#VALUE!</v>
      </c>
    </row>
    <row r="22" spans="1:6" x14ac:dyDescent="0.25">
      <c r="A22" s="24" t="s">
        <v>64</v>
      </c>
      <c r="B22" s="25" t="str">
        <f t="shared" si="7"/>
        <v>Mukherjee</v>
      </c>
      <c r="C22" s="25" t="str">
        <f t="shared" si="8"/>
        <v>Mukherjee</v>
      </c>
      <c r="D22" s="25">
        <f t="shared" si="9"/>
        <v>9</v>
      </c>
      <c r="E22" s="1">
        <f t="shared" si="10"/>
        <v>6</v>
      </c>
      <c r="F22" s="1">
        <f t="shared" si="11"/>
        <v>6</v>
      </c>
    </row>
    <row r="23" spans="1:6" x14ac:dyDescent="0.25">
      <c r="A23" s="24" t="s">
        <v>65</v>
      </c>
      <c r="B23" s="25" t="str">
        <f t="shared" si="7"/>
        <v>Sutradhar</v>
      </c>
      <c r="C23" s="25" t="str">
        <f t="shared" si="8"/>
        <v>Sutradhar</v>
      </c>
      <c r="D23" s="25">
        <f t="shared" si="9"/>
        <v>9</v>
      </c>
      <c r="E23" s="1">
        <f t="shared" si="10"/>
        <v>4</v>
      </c>
      <c r="F23" s="1">
        <f t="shared" si="11"/>
        <v>4</v>
      </c>
    </row>
    <row r="24" spans="1:6" x14ac:dyDescent="0.25">
      <c r="A24" s="24" t="s">
        <v>66</v>
      </c>
      <c r="B24" s="25" t="str">
        <f t="shared" si="7"/>
        <v>Fernendes</v>
      </c>
      <c r="C24" s="25" t="str">
        <f t="shared" si="8"/>
        <v>Fernendes</v>
      </c>
      <c r="D24" s="25">
        <f t="shared" si="9"/>
        <v>9</v>
      </c>
      <c r="E24" s="1">
        <f t="shared" si="10"/>
        <v>3</v>
      </c>
      <c r="F24" s="1">
        <f t="shared" si="11"/>
        <v>3</v>
      </c>
    </row>
    <row r="25" spans="1:6" x14ac:dyDescent="0.25">
      <c r="A25" s="24" t="s">
        <v>67</v>
      </c>
      <c r="B25" s="25" t="str">
        <f t="shared" si="7"/>
        <v>Madhrani</v>
      </c>
      <c r="C25" s="25" t="str">
        <f t="shared" si="8"/>
        <v>Madhrani</v>
      </c>
      <c r="D25" s="25">
        <f t="shared" si="9"/>
        <v>8</v>
      </c>
      <c r="E25" s="1">
        <f t="shared" si="10"/>
        <v>5</v>
      </c>
      <c r="F25" s="1">
        <f t="shared" si="11"/>
        <v>5</v>
      </c>
    </row>
  </sheetData>
  <mergeCells count="2"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767F-8F0B-43B8-B3A8-334A89563A98}">
  <dimension ref="A1:K43"/>
  <sheetViews>
    <sheetView topLeftCell="A27" workbookViewId="0">
      <selection activeCell="E39" sqref="E39"/>
    </sheetView>
  </sheetViews>
  <sheetFormatPr defaultRowHeight="18" x14ac:dyDescent="0.25"/>
  <cols>
    <col min="1" max="1" width="18.796875" customWidth="1"/>
    <col min="2" max="2" width="13.8984375" style="23" customWidth="1"/>
    <col min="3" max="3" width="14.59765625" customWidth="1"/>
    <col min="4" max="4" width="21.296875" customWidth="1"/>
    <col min="5" max="5" width="20.5" bestFit="1" customWidth="1"/>
    <col min="6" max="6" width="20.69921875" bestFit="1" customWidth="1"/>
    <col min="7" max="7" width="16.19921875" bestFit="1" customWidth="1"/>
    <col min="8" max="8" width="15" bestFit="1" customWidth="1"/>
    <col min="9" max="9" width="12.3984375" bestFit="1" customWidth="1"/>
    <col min="10" max="10" width="13" bestFit="1" customWidth="1"/>
  </cols>
  <sheetData>
    <row r="1" spans="1:11" x14ac:dyDescent="0.25">
      <c r="A1" s="8" t="s">
        <v>52</v>
      </c>
      <c r="B1" s="23" t="s">
        <v>178</v>
      </c>
      <c r="G1" s="11" t="s">
        <v>151</v>
      </c>
    </row>
    <row r="2" spans="1:11" x14ac:dyDescent="0.25">
      <c r="A2" s="1" t="s">
        <v>0</v>
      </c>
      <c r="B2" s="53">
        <v>32245</v>
      </c>
      <c r="G2" t="s">
        <v>102</v>
      </c>
      <c r="H2" s="31" t="s">
        <v>100</v>
      </c>
      <c r="J2" s="65">
        <f ca="1">NOW()</f>
        <v>45876.851403587963</v>
      </c>
    </row>
    <row r="3" spans="1:11" x14ac:dyDescent="0.25">
      <c r="A3" s="1" t="s">
        <v>40</v>
      </c>
      <c r="B3" s="53">
        <f ca="1">TODAY()</f>
        <v>45876</v>
      </c>
      <c r="G3" t="s">
        <v>103</v>
      </c>
      <c r="H3" s="32" t="s">
        <v>101</v>
      </c>
      <c r="J3" s="5">
        <f ca="1">TODAY()</f>
        <v>45876</v>
      </c>
    </row>
    <row r="4" spans="1:11" x14ac:dyDescent="0.25">
      <c r="D4" s="46" t="s">
        <v>43</v>
      </c>
      <c r="G4" t="s">
        <v>152</v>
      </c>
      <c r="H4" s="48" t="s">
        <v>155</v>
      </c>
      <c r="J4">
        <f ca="1">DAY(J3)</f>
        <v>7</v>
      </c>
    </row>
    <row r="5" spans="1:11" x14ac:dyDescent="0.25">
      <c r="A5" s="1" t="s">
        <v>49</v>
      </c>
      <c r="B5" s="57"/>
      <c r="C5" s="1"/>
      <c r="D5" s="1" t="s">
        <v>47</v>
      </c>
      <c r="E5" s="66" t="s">
        <v>186</v>
      </c>
      <c r="G5" t="s">
        <v>153</v>
      </c>
      <c r="H5" s="48" t="s">
        <v>156</v>
      </c>
      <c r="J5">
        <f ca="1">MONTH(J3)</f>
        <v>8</v>
      </c>
    </row>
    <row r="6" spans="1:11" x14ac:dyDescent="0.25">
      <c r="A6" s="72" t="s">
        <v>50</v>
      </c>
      <c r="B6" s="72"/>
      <c r="C6" s="72"/>
      <c r="D6" s="1" t="s">
        <v>48</v>
      </c>
      <c r="E6" s="25" t="s">
        <v>187</v>
      </c>
      <c r="G6" t="s">
        <v>154</v>
      </c>
      <c r="H6" s="48" t="s">
        <v>157</v>
      </c>
      <c r="J6">
        <f ca="1">YEAR(J3)</f>
        <v>2025</v>
      </c>
    </row>
    <row r="7" spans="1:11" x14ac:dyDescent="0.25">
      <c r="A7" s="72" t="s">
        <v>51</v>
      </c>
      <c r="B7" s="72"/>
      <c r="C7" s="72"/>
      <c r="D7" s="1" t="s">
        <v>44</v>
      </c>
      <c r="E7" s="25" t="s">
        <v>189</v>
      </c>
      <c r="G7" t="s">
        <v>160</v>
      </c>
      <c r="H7" s="32" t="s">
        <v>158</v>
      </c>
      <c r="J7" s="5">
        <f ca="1">DATE(J6,J5,J4)</f>
        <v>45876</v>
      </c>
    </row>
    <row r="8" spans="1:11" x14ac:dyDescent="0.25">
      <c r="A8" s="72" t="s">
        <v>41</v>
      </c>
      <c r="B8" s="72"/>
      <c r="C8" s="72"/>
      <c r="D8" s="1" t="s">
        <v>45</v>
      </c>
      <c r="E8" s="25" t="s">
        <v>190</v>
      </c>
      <c r="G8" t="s">
        <v>161</v>
      </c>
      <c r="H8" s="48" t="s">
        <v>159</v>
      </c>
      <c r="K8" s="32" t="s">
        <v>185</v>
      </c>
    </row>
    <row r="9" spans="1:11" x14ac:dyDescent="0.25">
      <c r="A9" s="72" t="s">
        <v>42</v>
      </c>
      <c r="B9" s="72"/>
      <c r="C9" s="72"/>
      <c r="D9" s="1" t="s">
        <v>46</v>
      </c>
      <c r="E9" s="25" t="s">
        <v>188</v>
      </c>
      <c r="H9" s="32" t="s">
        <v>163</v>
      </c>
    </row>
    <row r="10" spans="1:11" x14ac:dyDescent="0.25">
      <c r="G10" s="5"/>
      <c r="H10" s="32" t="s">
        <v>164</v>
      </c>
    </row>
    <row r="11" spans="1:11" x14ac:dyDescent="0.25">
      <c r="G11" s="5"/>
      <c r="H11" s="32" t="s">
        <v>166</v>
      </c>
    </row>
    <row r="12" spans="1:11" x14ac:dyDescent="0.25">
      <c r="A12" s="7" t="s">
        <v>53</v>
      </c>
      <c r="B12" s="54" t="s">
        <v>69</v>
      </c>
      <c r="F12" t="s">
        <v>176</v>
      </c>
      <c r="H12" s="32" t="s">
        <v>174</v>
      </c>
    </row>
    <row r="13" spans="1:11" x14ac:dyDescent="0.25">
      <c r="A13" s="9" t="s">
        <v>54</v>
      </c>
      <c r="B13" s="55" t="s">
        <v>55</v>
      </c>
      <c r="C13" s="9" t="s">
        <v>56</v>
      </c>
      <c r="D13" s="9" t="s">
        <v>68</v>
      </c>
      <c r="E13" s="9" t="s">
        <v>162</v>
      </c>
      <c r="F13" s="9" t="s">
        <v>177</v>
      </c>
      <c r="H13" s="32" t="s">
        <v>175</v>
      </c>
    </row>
    <row r="14" spans="1:11" x14ac:dyDescent="0.25">
      <c r="A14" s="10">
        <v>1</v>
      </c>
      <c r="B14" s="24" t="s">
        <v>57</v>
      </c>
      <c r="C14" s="51">
        <v>36161</v>
      </c>
      <c r="D14" s="67" t="s">
        <v>191</v>
      </c>
      <c r="E14" s="25" t="str">
        <f>IF(C14&gt;DATE(2022,1,1),"Yes","No")</f>
        <v>No</v>
      </c>
      <c r="F14" s="58"/>
      <c r="H14" s="32" t="s">
        <v>179</v>
      </c>
    </row>
    <row r="15" spans="1:11" x14ac:dyDescent="0.25">
      <c r="A15" s="10">
        <v>2</v>
      </c>
      <c r="B15" s="24" t="s">
        <v>58</v>
      </c>
      <c r="C15" s="51">
        <v>37622</v>
      </c>
      <c r="D15" s="67" t="str">
        <f t="shared" ref="D15:D24" ca="1" si="0">DATEDIF(C15,TODAY(),"Y")&amp;","&amp;DATEDIF(C15,TODAY(),"YM")&amp;","&amp;DATEDIF(C15,TODAY(),"YD")</f>
        <v>22,7,218</v>
      </c>
      <c r="E15" s="25" t="str">
        <f t="shared" ref="E15:E24" si="1">IF(C15&gt;DATE(2022,1,1),"Yes","No")</f>
        <v>No</v>
      </c>
      <c r="F15" s="58"/>
    </row>
    <row r="16" spans="1:11" x14ac:dyDescent="0.25">
      <c r="A16" s="10">
        <v>3</v>
      </c>
      <c r="B16" s="24" t="s">
        <v>59</v>
      </c>
      <c r="C16" s="51">
        <v>43891</v>
      </c>
      <c r="D16" s="67" t="str">
        <f t="shared" ca="1" si="0"/>
        <v>5,5,159</v>
      </c>
      <c r="E16" s="25" t="str">
        <f t="shared" si="1"/>
        <v>No</v>
      </c>
      <c r="F16" s="58"/>
    </row>
    <row r="17" spans="1:8" x14ac:dyDescent="0.25">
      <c r="A17" s="10">
        <v>4</v>
      </c>
      <c r="B17" s="24" t="s">
        <v>60</v>
      </c>
      <c r="C17" s="51">
        <v>44889</v>
      </c>
      <c r="D17" s="67" t="str">
        <f t="shared" ca="1" si="0"/>
        <v>2,8,256</v>
      </c>
      <c r="E17" s="25" t="str">
        <f t="shared" si="1"/>
        <v>Yes</v>
      </c>
      <c r="F17" s="58"/>
      <c r="G17" t="s">
        <v>181</v>
      </c>
      <c r="H17" s="5"/>
    </row>
    <row r="18" spans="1:8" x14ac:dyDescent="0.25">
      <c r="A18" s="10">
        <v>5</v>
      </c>
      <c r="B18" s="24" t="s">
        <v>61</v>
      </c>
      <c r="C18" s="51">
        <v>44443</v>
      </c>
      <c r="D18" s="67" t="str">
        <f t="shared" ca="1" si="0"/>
        <v>3,11,337</v>
      </c>
      <c r="E18" s="25" t="str">
        <f t="shared" si="1"/>
        <v>No</v>
      </c>
      <c r="F18" s="58"/>
    </row>
    <row r="19" spans="1:8" x14ac:dyDescent="0.25">
      <c r="A19" s="10">
        <v>6</v>
      </c>
      <c r="B19" s="24" t="s">
        <v>62</v>
      </c>
      <c r="C19" s="51">
        <v>43712</v>
      </c>
      <c r="D19" s="67" t="str">
        <f t="shared" ca="1" si="0"/>
        <v>5,11,338</v>
      </c>
      <c r="E19" s="25" t="str">
        <f t="shared" si="1"/>
        <v>No</v>
      </c>
      <c r="F19" s="58"/>
    </row>
    <row r="20" spans="1:8" x14ac:dyDescent="0.25">
      <c r="A20" s="10">
        <v>7</v>
      </c>
      <c r="B20" s="24" t="s">
        <v>63</v>
      </c>
      <c r="C20" s="51">
        <v>36755</v>
      </c>
      <c r="D20" s="67" t="str">
        <f t="shared" ca="1" si="0"/>
        <v>24,11,355</v>
      </c>
      <c r="E20" s="25" t="str">
        <f t="shared" si="1"/>
        <v>No</v>
      </c>
      <c r="F20" s="58"/>
    </row>
    <row r="21" spans="1:8" x14ac:dyDescent="0.25">
      <c r="A21" s="10">
        <v>8</v>
      </c>
      <c r="B21" s="24" t="s">
        <v>64</v>
      </c>
      <c r="C21" s="51">
        <v>43347</v>
      </c>
      <c r="D21" s="67" t="str">
        <f t="shared" ca="1" si="0"/>
        <v>6,11,337</v>
      </c>
      <c r="E21" s="25" t="str">
        <f t="shared" si="1"/>
        <v>No</v>
      </c>
      <c r="F21" s="58"/>
    </row>
    <row r="22" spans="1:8" x14ac:dyDescent="0.25">
      <c r="A22" s="10">
        <v>9</v>
      </c>
      <c r="B22" s="24" t="s">
        <v>65</v>
      </c>
      <c r="C22" s="51">
        <v>43811</v>
      </c>
      <c r="D22" s="67" t="str">
        <f t="shared" ca="1" si="0"/>
        <v>5,7,239</v>
      </c>
      <c r="E22" s="25" t="str">
        <f t="shared" si="1"/>
        <v>No</v>
      </c>
      <c r="F22" s="58"/>
    </row>
    <row r="23" spans="1:8" x14ac:dyDescent="0.25">
      <c r="A23" s="10">
        <v>10</v>
      </c>
      <c r="B23" s="24" t="s">
        <v>66</v>
      </c>
      <c r="C23" s="51">
        <v>44762</v>
      </c>
      <c r="D23" s="67" t="str">
        <f t="shared" ca="1" si="0"/>
        <v>3,0,18</v>
      </c>
      <c r="E23" s="25" t="str">
        <f t="shared" si="1"/>
        <v>Yes</v>
      </c>
      <c r="F23" s="58"/>
    </row>
    <row r="24" spans="1:8" x14ac:dyDescent="0.25">
      <c r="A24" s="10">
        <v>11</v>
      </c>
      <c r="B24" s="24" t="s">
        <v>67</v>
      </c>
      <c r="C24" s="51">
        <v>44947</v>
      </c>
      <c r="D24" s="67" t="str">
        <f t="shared" ca="1" si="0"/>
        <v>2,6,198</v>
      </c>
      <c r="E24" s="25" t="str">
        <f t="shared" si="1"/>
        <v>Yes</v>
      </c>
      <c r="F24" s="58"/>
    </row>
    <row r="26" spans="1:8" x14ac:dyDescent="0.25">
      <c r="A26" s="12" t="s">
        <v>167</v>
      </c>
      <c r="C26" s="26"/>
      <c r="D26" s="59"/>
    </row>
    <row r="27" spans="1:8" x14ac:dyDescent="0.25">
      <c r="A27" t="s">
        <v>168</v>
      </c>
      <c r="B27" s="23" t="s">
        <v>173</v>
      </c>
    </row>
    <row r="28" spans="1:8" x14ac:dyDescent="0.25">
      <c r="A28" t="s">
        <v>169</v>
      </c>
      <c r="B28" s="23" t="s">
        <v>172</v>
      </c>
      <c r="C28" s="5">
        <f ca="1">EDATE(TODAY(),1)</f>
        <v>45907</v>
      </c>
    </row>
    <row r="29" spans="1:8" x14ac:dyDescent="0.25">
      <c r="A29" t="s">
        <v>170</v>
      </c>
      <c r="B29" s="23" t="s">
        <v>171</v>
      </c>
      <c r="C29" s="5"/>
    </row>
    <row r="30" spans="1:8" x14ac:dyDescent="0.25">
      <c r="C30" s="5"/>
    </row>
    <row r="31" spans="1:8" x14ac:dyDescent="0.25">
      <c r="A31" s="60" t="s">
        <v>70</v>
      </c>
    </row>
    <row r="32" spans="1:8" x14ac:dyDescent="0.25">
      <c r="A32" s="61" t="s">
        <v>53</v>
      </c>
      <c r="B32" s="11" t="s">
        <v>137</v>
      </c>
    </row>
    <row r="33" spans="1:7" x14ac:dyDescent="0.25">
      <c r="A33" s="56" t="s">
        <v>0</v>
      </c>
      <c r="B33" s="14" t="s">
        <v>40</v>
      </c>
      <c r="C33" s="14" t="s">
        <v>140</v>
      </c>
      <c r="D33" s="14" t="s">
        <v>73</v>
      </c>
      <c r="E33" s="14" t="s">
        <v>71</v>
      </c>
      <c r="F33" s="13" t="s">
        <v>77</v>
      </c>
      <c r="G33" s="13" t="s">
        <v>72</v>
      </c>
    </row>
    <row r="34" spans="1:7" x14ac:dyDescent="0.25">
      <c r="A34" s="53">
        <v>45139</v>
      </c>
      <c r="B34" s="6">
        <v>45169</v>
      </c>
      <c r="C34" s="6">
        <f>EOMONTH(B34,1)</f>
        <v>45199</v>
      </c>
      <c r="D34" s="1">
        <v>1</v>
      </c>
      <c r="E34" s="25" t="s">
        <v>193</v>
      </c>
      <c r="F34" s="1" t="s">
        <v>74</v>
      </c>
      <c r="G34" s="6" t="s">
        <v>192</v>
      </c>
    </row>
    <row r="35" spans="1:7" x14ac:dyDescent="0.25">
      <c r="A35" s="53">
        <v>45139</v>
      </c>
      <c r="B35" s="6">
        <v>45169</v>
      </c>
      <c r="C35" s="6"/>
      <c r="D35" s="1">
        <v>16</v>
      </c>
      <c r="E35" s="25" t="s">
        <v>194</v>
      </c>
      <c r="F35" s="1" t="s">
        <v>75</v>
      </c>
      <c r="G35" s="6">
        <v>45051</v>
      </c>
    </row>
    <row r="36" spans="1:7" x14ac:dyDescent="0.25">
      <c r="A36" s="53">
        <v>45139</v>
      </c>
      <c r="B36" s="6">
        <v>45169</v>
      </c>
      <c r="C36" s="6"/>
      <c r="D36" s="1">
        <v>11</v>
      </c>
      <c r="E36" s="1"/>
      <c r="F36" s="1" t="s">
        <v>76</v>
      </c>
      <c r="G36" s="1"/>
    </row>
    <row r="43" spans="1:7" x14ac:dyDescent="0.25">
      <c r="A43" s="11"/>
    </row>
  </sheetData>
  <mergeCells count="4">
    <mergeCell ref="A6:C6"/>
    <mergeCell ref="A7:C7"/>
    <mergeCell ref="A8:C8"/>
    <mergeCell ref="A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48F9-4D7F-462E-8D17-B353255A7560}">
  <dimension ref="C3:G3"/>
  <sheetViews>
    <sheetView workbookViewId="0">
      <selection activeCell="E7" sqref="E7"/>
    </sheetView>
  </sheetViews>
  <sheetFormatPr defaultRowHeight="18" x14ac:dyDescent="0.25"/>
  <sheetData>
    <row r="3" spans="3:7" x14ac:dyDescent="0.25">
      <c r="C3" s="5">
        <v>45846</v>
      </c>
      <c r="D3">
        <f>YEAR(C3)</f>
        <v>2025</v>
      </c>
      <c r="E3">
        <f>MONTH(C3)</f>
        <v>7</v>
      </c>
      <c r="F3">
        <f>DAY(C3)</f>
        <v>8</v>
      </c>
      <c r="G3" s="32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966F-1445-45FA-B3A6-96ECBD06DE28}">
  <dimension ref="A1:B9"/>
  <sheetViews>
    <sheetView workbookViewId="0">
      <selection activeCell="B9" sqref="B9"/>
    </sheetView>
  </sheetViews>
  <sheetFormatPr defaultRowHeight="18" x14ac:dyDescent="0.25"/>
  <cols>
    <col min="1" max="1" width="9.19921875" bestFit="1" customWidth="1"/>
  </cols>
  <sheetData>
    <row r="1" spans="1:2" x14ac:dyDescent="0.25">
      <c r="A1" s="43" t="s">
        <v>112</v>
      </c>
      <c r="B1" s="43" t="s">
        <v>113</v>
      </c>
    </row>
    <row r="2" spans="1:2" x14ac:dyDescent="0.25">
      <c r="A2" s="10" t="s">
        <v>119</v>
      </c>
      <c r="B2" s="10">
        <v>100</v>
      </c>
    </row>
    <row r="3" spans="1:2" x14ac:dyDescent="0.25">
      <c r="A3" s="10" t="s">
        <v>121</v>
      </c>
      <c r="B3" s="10">
        <v>100</v>
      </c>
    </row>
    <row r="4" spans="1:2" x14ac:dyDescent="0.25">
      <c r="A4" s="10" t="s">
        <v>123</v>
      </c>
      <c r="B4" s="10">
        <v>100</v>
      </c>
    </row>
    <row r="5" spans="1:2" x14ac:dyDescent="0.25">
      <c r="A5" s="10" t="s">
        <v>124</v>
      </c>
      <c r="B5" s="10">
        <v>100</v>
      </c>
    </row>
    <row r="6" spans="1:2" x14ac:dyDescent="0.25">
      <c r="A6" s="10" t="s">
        <v>125</v>
      </c>
      <c r="B6" s="10">
        <v>100</v>
      </c>
    </row>
    <row r="7" spans="1:2" x14ac:dyDescent="0.25">
      <c r="A7" s="10" t="s">
        <v>126</v>
      </c>
      <c r="B7" s="10">
        <v>100</v>
      </c>
    </row>
    <row r="8" spans="1:2" x14ac:dyDescent="0.25">
      <c r="A8" s="10" t="s">
        <v>127</v>
      </c>
      <c r="B8" s="10">
        <v>100</v>
      </c>
    </row>
    <row r="9" spans="1:2" x14ac:dyDescent="0.25">
      <c r="A9" s="10" t="s">
        <v>138</v>
      </c>
      <c r="B9" s="1">
        <f>SUM(B2:B8)</f>
        <v>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5F43-0280-46E6-8D33-422C9048DD11}">
  <dimension ref="A1:B9"/>
  <sheetViews>
    <sheetView workbookViewId="0">
      <selection activeCell="A9" sqref="A9:B9"/>
    </sheetView>
  </sheetViews>
  <sheetFormatPr defaultRowHeight="18" x14ac:dyDescent="0.25"/>
  <sheetData>
    <row r="1" spans="1:2" x14ac:dyDescent="0.25">
      <c r="A1" s="43" t="s">
        <v>112</v>
      </c>
      <c r="B1" s="43" t="s">
        <v>114</v>
      </c>
    </row>
    <row r="2" spans="1:2" x14ac:dyDescent="0.25">
      <c r="A2" s="10" t="s">
        <v>119</v>
      </c>
      <c r="B2" s="10">
        <v>225</v>
      </c>
    </row>
    <row r="3" spans="1:2" x14ac:dyDescent="0.25">
      <c r="A3" s="10" t="s">
        <v>121</v>
      </c>
      <c r="B3" s="10">
        <v>102</v>
      </c>
    </row>
    <row r="4" spans="1:2" x14ac:dyDescent="0.25">
      <c r="A4" s="10" t="s">
        <v>123</v>
      </c>
      <c r="B4" s="10">
        <v>130</v>
      </c>
    </row>
    <row r="5" spans="1:2" x14ac:dyDescent="0.25">
      <c r="A5" s="10" t="s">
        <v>124</v>
      </c>
      <c r="B5" s="10">
        <v>157</v>
      </c>
    </row>
    <row r="6" spans="1:2" x14ac:dyDescent="0.25">
      <c r="A6" s="10" t="s">
        <v>125</v>
      </c>
      <c r="B6" s="10">
        <v>209</v>
      </c>
    </row>
    <row r="7" spans="1:2" x14ac:dyDescent="0.25">
      <c r="A7" s="10" t="s">
        <v>126</v>
      </c>
      <c r="B7" s="10">
        <v>73</v>
      </c>
    </row>
    <row r="8" spans="1:2" x14ac:dyDescent="0.25">
      <c r="A8" s="10" t="s">
        <v>127</v>
      </c>
      <c r="B8" s="10">
        <v>59</v>
      </c>
    </row>
    <row r="9" spans="1:2" x14ac:dyDescent="0.25">
      <c r="A9" s="10" t="s">
        <v>138</v>
      </c>
      <c r="B9" s="1">
        <f>SUM(B2:B8)</f>
        <v>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E152-9D70-45CB-BFB4-B4957F0AC23B}">
  <dimension ref="A1:B9"/>
  <sheetViews>
    <sheetView workbookViewId="0">
      <selection activeCell="B9" sqref="B9"/>
    </sheetView>
  </sheetViews>
  <sheetFormatPr defaultRowHeight="18" x14ac:dyDescent="0.25"/>
  <cols>
    <col min="1" max="1" width="9.19921875" bestFit="1" customWidth="1"/>
  </cols>
  <sheetData>
    <row r="1" spans="1:2" x14ac:dyDescent="0.25">
      <c r="A1" s="43" t="s">
        <v>112</v>
      </c>
      <c r="B1" s="43" t="s">
        <v>115</v>
      </c>
    </row>
    <row r="2" spans="1:2" x14ac:dyDescent="0.25">
      <c r="A2" s="10" t="s">
        <v>119</v>
      </c>
      <c r="B2" s="10">
        <v>171</v>
      </c>
    </row>
    <row r="3" spans="1:2" x14ac:dyDescent="0.25">
      <c r="A3" s="10" t="s">
        <v>121</v>
      </c>
      <c r="B3" s="10">
        <v>184</v>
      </c>
    </row>
    <row r="4" spans="1:2" x14ac:dyDescent="0.25">
      <c r="A4" s="10" t="s">
        <v>123</v>
      </c>
      <c r="B4" s="10">
        <v>133</v>
      </c>
    </row>
    <row r="5" spans="1:2" x14ac:dyDescent="0.25">
      <c r="A5" s="10" t="s">
        <v>124</v>
      </c>
      <c r="B5" s="10">
        <v>97</v>
      </c>
    </row>
    <row r="6" spans="1:2" x14ac:dyDescent="0.25">
      <c r="A6" s="10" t="s">
        <v>125</v>
      </c>
      <c r="B6" s="10">
        <v>54</v>
      </c>
    </row>
    <row r="7" spans="1:2" x14ac:dyDescent="0.25">
      <c r="A7" s="10" t="s">
        <v>126</v>
      </c>
      <c r="B7" s="10">
        <v>215</v>
      </c>
    </row>
    <row r="8" spans="1:2" x14ac:dyDescent="0.25">
      <c r="A8" s="10" t="s">
        <v>127</v>
      </c>
      <c r="B8" s="10">
        <v>68</v>
      </c>
    </row>
    <row r="9" spans="1:2" x14ac:dyDescent="0.25">
      <c r="B9">
        <f>SUM(B2:B8)</f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Task1</vt:lpstr>
      <vt:lpstr>Task2</vt:lpstr>
      <vt:lpstr>Offset</vt:lpstr>
      <vt:lpstr>Indirect</vt:lpstr>
      <vt:lpstr>Text functions</vt:lpstr>
      <vt:lpstr>Date </vt:lpstr>
      <vt:lpstr>Sheet1</vt:lpstr>
      <vt:lpstr>Jan</vt:lpstr>
      <vt:lpstr>Feb</vt:lpstr>
      <vt:lpstr>March</vt:lpstr>
      <vt:lpstr>abc</vt:lpstr>
      <vt:lpstr>months</vt:lpstr>
      <vt:lpstr>person_name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Satej Bhogate</cp:lastModifiedBy>
  <dcterms:created xsi:type="dcterms:W3CDTF">2023-03-30T06:52:39Z</dcterms:created>
  <dcterms:modified xsi:type="dcterms:W3CDTF">2025-08-07T15:03:34Z</dcterms:modified>
</cp:coreProperties>
</file>