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tej.bhogate\OneDrive - Mphasis\Desktop\ExcelR\Excel\"/>
    </mc:Choice>
  </mc:AlternateContent>
  <xr:revisionPtr revIDLastSave="0" documentId="13_ncr:1_{F792626D-C0CD-4E0E-BC55-C5BC04184DF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ask" sheetId="2" r:id="rId1"/>
    <sheet name="Practice" sheetId="1" r:id="rId2"/>
    <sheet name="IF AND OR" sheetId="4" r:id="rId3"/>
    <sheet name="Nested IF" sheetId="5" r:id="rId4"/>
  </sheets>
  <definedNames>
    <definedName name="Branches">#REF!</definedName>
    <definedName name="Date_Hire">#REF!</definedName>
    <definedName name="Department">#REF!</definedName>
    <definedName name="hike">#REF!</definedName>
    <definedName name="Last_name">#REF!</definedName>
    <definedName name="Region">#REF!</definedName>
    <definedName name="Salary">#REF!</definedName>
    <definedName name="Sr._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gfHAQgxY4SAuhT072KqpwE7YMQIA=="/>
    </ext>
  </extLst>
</workbook>
</file>

<file path=xl/calcChain.xml><?xml version="1.0" encoding="utf-8"?>
<calcChain xmlns="http://schemas.openxmlformats.org/spreadsheetml/2006/main">
  <c r="B61" i="5" l="1"/>
  <c r="E60" i="5"/>
  <c r="C60" i="5"/>
  <c r="E59" i="5"/>
  <c r="D26" i="5"/>
  <c r="D27" i="5"/>
  <c r="D28" i="5"/>
  <c r="D29" i="5"/>
  <c r="D25" i="5"/>
  <c r="F11" i="5"/>
  <c r="F12" i="5"/>
  <c r="F13" i="5"/>
  <c r="F14" i="5"/>
  <c r="F10" i="5"/>
  <c r="E11" i="5"/>
  <c r="E12" i="5"/>
  <c r="E13" i="5"/>
  <c r="E14" i="5"/>
  <c r="E10" i="5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3" i="2"/>
  <c r="T4" i="2" a="1"/>
  <c r="T4" i="2" s="1"/>
  <c r="T5" i="2" a="1"/>
  <c r="T5" i="2" s="1"/>
  <c r="T6" i="2" a="1"/>
  <c r="T6" i="2" s="1"/>
  <c r="T7" i="2" a="1"/>
  <c r="T7" i="2" s="1"/>
  <c r="T8" i="2" a="1"/>
  <c r="T8" i="2" s="1"/>
  <c r="T9" i="2" a="1"/>
  <c r="T9" i="2" s="1"/>
  <c r="T10" i="2" a="1"/>
  <c r="T10" i="2" s="1"/>
  <c r="T11" i="2" a="1"/>
  <c r="T11" i="2" s="1"/>
  <c r="T12" i="2" a="1"/>
  <c r="T12" i="2" s="1"/>
  <c r="T13" i="2" a="1"/>
  <c r="T13" i="2" s="1"/>
  <c r="T14" i="2" a="1"/>
  <c r="T14" i="2" s="1"/>
  <c r="T15" i="2" a="1"/>
  <c r="T15" i="2" s="1"/>
  <c r="T16" i="2" a="1"/>
  <c r="T16" i="2" s="1"/>
  <c r="T17" i="2" a="1"/>
  <c r="T17" i="2" s="1"/>
  <c r="T18" i="2" a="1"/>
  <c r="T18" i="2" s="1"/>
  <c r="T19" i="2" a="1"/>
  <c r="T19" i="2" s="1"/>
  <c r="T20" i="2" a="1"/>
  <c r="T20" i="2" s="1"/>
  <c r="T21" i="2" a="1"/>
  <c r="T21" i="2" s="1"/>
  <c r="T22" i="2" a="1"/>
  <c r="T22" i="2" s="1"/>
  <c r="T23" i="2" a="1"/>
  <c r="T23" i="2" s="1"/>
  <c r="T24" i="2" a="1"/>
  <c r="T24" i="2" s="1"/>
  <c r="T25" i="2" a="1"/>
  <c r="T25" i="2" s="1"/>
  <c r="T26" i="2" a="1"/>
  <c r="T26" i="2" s="1"/>
  <c r="T27" i="2" a="1"/>
  <c r="T27" i="2" s="1"/>
  <c r="T28" i="2" a="1"/>
  <c r="T28" i="2" s="1"/>
  <c r="T29" i="2" a="1"/>
  <c r="T29" i="2" s="1"/>
  <c r="T30" i="2" a="1"/>
  <c r="T30" i="2" s="1"/>
  <c r="T31" i="2" a="1"/>
  <c r="T31" i="2" s="1"/>
  <c r="T32" i="2" a="1"/>
  <c r="T32" i="2" s="1"/>
  <c r="T33" i="2" a="1"/>
  <c r="T33" i="2" s="1"/>
  <c r="T34" i="2" a="1"/>
  <c r="T34" i="2" s="1"/>
  <c r="T35" i="2" a="1"/>
  <c r="T35" i="2" s="1"/>
  <c r="T36" i="2" a="1"/>
  <c r="T36" i="2" s="1"/>
  <c r="T37" i="2" a="1"/>
  <c r="T37" i="2" s="1"/>
  <c r="T38" i="2" a="1"/>
  <c r="T38" i="2" s="1"/>
  <c r="T39" i="2" a="1"/>
  <c r="T39" i="2" s="1"/>
  <c r="T40" i="2" a="1"/>
  <c r="T40" i="2" s="1"/>
  <c r="T41" i="2" a="1"/>
  <c r="T41" i="2" s="1"/>
  <c r="T42" i="2" a="1"/>
  <c r="T42" i="2" s="1"/>
  <c r="T43" i="2" a="1"/>
  <c r="T43" i="2" s="1"/>
  <c r="T44" i="2" a="1"/>
  <c r="T44" i="2" s="1"/>
  <c r="T45" i="2" a="1"/>
  <c r="T45" i="2" s="1"/>
  <c r="T46" i="2" a="1"/>
  <c r="T46" i="2" s="1"/>
  <c r="T47" i="2" a="1"/>
  <c r="T47" i="2" s="1"/>
  <c r="T48" i="2" a="1"/>
  <c r="T48" i="2" s="1"/>
  <c r="T49" i="2" a="1"/>
  <c r="T49" i="2" s="1"/>
  <c r="T50" i="2" a="1"/>
  <c r="T50" i="2" s="1"/>
  <c r="T51" i="2" a="1"/>
  <c r="T51" i="2" s="1"/>
  <c r="T52" i="2" a="1"/>
  <c r="T52" i="2" s="1"/>
  <c r="T53" i="2" a="1"/>
  <c r="T53" i="2" s="1"/>
  <c r="T54" i="2" a="1"/>
  <c r="T54" i="2" s="1"/>
  <c r="T55" i="2" a="1"/>
  <c r="T55" i="2" s="1"/>
  <c r="T56" i="2" a="1"/>
  <c r="T56" i="2" s="1"/>
  <c r="T57" i="2" a="1"/>
  <c r="T57" i="2" s="1"/>
  <c r="T58" i="2" a="1"/>
  <c r="T58" i="2" s="1"/>
  <c r="T59" i="2" a="1"/>
  <c r="T59" i="2" s="1"/>
  <c r="T60" i="2" a="1"/>
  <c r="T60" i="2" s="1"/>
  <c r="T61" i="2" a="1"/>
  <c r="T61" i="2" s="1"/>
  <c r="T62" i="2" a="1"/>
  <c r="T62" i="2" s="1"/>
  <c r="T63" i="2" a="1"/>
  <c r="T63" i="2" s="1"/>
  <c r="T64" i="2" a="1"/>
  <c r="T64" i="2" s="1"/>
  <c r="T65" i="2" a="1"/>
  <c r="T65" i="2" s="1"/>
  <c r="T66" i="2" a="1"/>
  <c r="T66" i="2" s="1"/>
  <c r="T67" i="2" a="1"/>
  <c r="T67" i="2" s="1"/>
  <c r="T68" i="2" a="1"/>
  <c r="T68" i="2" s="1"/>
  <c r="T69" i="2" a="1"/>
  <c r="T69" i="2" s="1"/>
  <c r="T70" i="2" a="1"/>
  <c r="T70" i="2" s="1"/>
  <c r="T71" i="2" a="1"/>
  <c r="T71" i="2" s="1"/>
  <c r="T72" i="2" a="1"/>
  <c r="T72" i="2" s="1"/>
  <c r="T73" i="2" a="1"/>
  <c r="T73" i="2" s="1"/>
  <c r="T74" i="2" a="1"/>
  <c r="T74" i="2" s="1"/>
  <c r="T75" i="2" a="1"/>
  <c r="T75" i="2" s="1"/>
  <c r="T76" i="2" a="1"/>
  <c r="T76" i="2" s="1"/>
  <c r="T77" i="2" a="1"/>
  <c r="T77" i="2" s="1"/>
  <c r="T78" i="2" a="1"/>
  <c r="T78" i="2" s="1"/>
  <c r="T79" i="2" a="1"/>
  <c r="T79" i="2" s="1"/>
  <c r="T80" i="2" a="1"/>
  <c r="T80" i="2" s="1"/>
  <c r="T81" i="2" a="1"/>
  <c r="T81" i="2" s="1"/>
  <c r="T82" i="2" a="1"/>
  <c r="T82" i="2" s="1"/>
  <c r="T83" i="2" a="1"/>
  <c r="T83" i="2" s="1"/>
  <c r="T84" i="2" a="1"/>
  <c r="T84" i="2" s="1"/>
  <c r="T85" i="2" a="1"/>
  <c r="T85" i="2" s="1"/>
  <c r="T86" i="2" a="1"/>
  <c r="T86" i="2" s="1"/>
  <c r="T87" i="2" a="1"/>
  <c r="T87" i="2" s="1"/>
  <c r="T88" i="2" a="1"/>
  <c r="T88" i="2" s="1"/>
  <c r="T89" i="2" a="1"/>
  <c r="T89" i="2" s="1"/>
  <c r="T90" i="2" a="1"/>
  <c r="T90" i="2" s="1"/>
  <c r="T91" i="2" a="1"/>
  <c r="T91" i="2" s="1"/>
  <c r="T92" i="2" a="1"/>
  <c r="T92" i="2" s="1"/>
  <c r="T93" i="2" a="1"/>
  <c r="T93" i="2" s="1"/>
  <c r="T94" i="2" a="1"/>
  <c r="T94" i="2" s="1"/>
  <c r="T95" i="2" a="1"/>
  <c r="T95" i="2" s="1"/>
  <c r="T96" i="2" a="1"/>
  <c r="T96" i="2" s="1"/>
  <c r="T97" i="2" a="1"/>
  <c r="T97" i="2" s="1"/>
  <c r="T98" i="2" a="1"/>
  <c r="T98" i="2" s="1"/>
  <c r="T99" i="2" a="1"/>
  <c r="T99" i="2" s="1"/>
  <c r="T100" i="2" a="1"/>
  <c r="T100" i="2" s="1"/>
  <c r="T101" i="2" a="1"/>
  <c r="T101" i="2" s="1"/>
  <c r="T102" i="2" a="1"/>
  <c r="T102" i="2" s="1"/>
  <c r="T3" i="2" a="1"/>
  <c r="T3" i="2" s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3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3" i="2"/>
  <c r="I5" i="2"/>
  <c r="I4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3" i="2"/>
  <c r="F12" i="1"/>
  <c r="F13" i="1"/>
  <c r="F14" i="1"/>
  <c r="F15" i="1"/>
  <c r="F11" i="1"/>
  <c r="E12" i="1"/>
  <c r="E13" i="1"/>
  <c r="E14" i="1"/>
  <c r="E15" i="1"/>
  <c r="E11" i="1"/>
  <c r="F4" i="1"/>
  <c r="F5" i="1"/>
  <c r="F6" i="1"/>
  <c r="F7" i="1"/>
  <c r="F3" i="1"/>
  <c r="E4" i="1"/>
  <c r="E5" i="1"/>
  <c r="E6" i="1"/>
  <c r="E7" i="1"/>
  <c r="E3" i="1"/>
  <c r="D4" i="1"/>
  <c r="D5" i="1"/>
  <c r="D6" i="1"/>
  <c r="D7" i="1"/>
  <c r="D3" i="1"/>
  <c r="C4" i="1"/>
  <c r="C5" i="1"/>
  <c r="C6" i="1"/>
  <c r="C7" i="1"/>
  <c r="C3" i="1"/>
  <c r="C16" i="4"/>
  <c r="C10" i="4"/>
  <c r="D5" i="4"/>
  <c r="B5" i="4"/>
  <c r="A5" i="4"/>
  <c r="L9" i="4"/>
  <c r="N3" i="4"/>
  <c r="N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<sst xmlns="http://schemas.openxmlformats.org/spreadsheetml/2006/main" count="698" uniqueCount="325">
  <si>
    <t>Basic&lt;=10000
3000</t>
  </si>
  <si>
    <t>Dept=Sales
10% of basic</t>
  </si>
  <si>
    <t>Dept=Admin
Salary &lt;=10000
5% of basic</t>
  </si>
  <si>
    <t>5000 GV
Sales and Mktg dept</t>
  </si>
  <si>
    <t>Dept=CCD,Salary=&gt;10000
Dept=Personnel, salary&gt;=10000,
result= 6000 GV</t>
  </si>
  <si>
    <t>TA
North=4000
South=4200
East=3800
West = 3600</t>
  </si>
  <si>
    <t>GV 2000 to 
everyone, Except
Director</t>
  </si>
  <si>
    <t>SNO</t>
  </si>
  <si>
    <t>First name</t>
  </si>
  <si>
    <t>Last name</t>
  </si>
  <si>
    <t>Department</t>
  </si>
  <si>
    <t>Region</t>
  </si>
  <si>
    <t>Branches</t>
  </si>
  <si>
    <t>Date Hire</t>
  </si>
  <si>
    <t>Basic</t>
  </si>
  <si>
    <t>HRA</t>
  </si>
  <si>
    <t>DA</t>
  </si>
  <si>
    <t>Gross</t>
  </si>
  <si>
    <t>Professional Tax</t>
  </si>
  <si>
    <t>PPF</t>
  </si>
  <si>
    <t>NET</t>
  </si>
  <si>
    <t>Bonus</t>
  </si>
  <si>
    <t>Raise</t>
  </si>
  <si>
    <t>Gift Voucher</t>
  </si>
  <si>
    <t>TRAVEL ALLW</t>
  </si>
  <si>
    <t>GV</t>
  </si>
  <si>
    <t>Raja</t>
  </si>
  <si>
    <t>Raymondekar</t>
  </si>
  <si>
    <t>Sales</t>
  </si>
  <si>
    <t>north</t>
  </si>
  <si>
    <t>Ferozepur</t>
  </si>
  <si>
    <t>Suman</t>
  </si>
  <si>
    <t>Shinde</t>
  </si>
  <si>
    <t>east</t>
  </si>
  <si>
    <t>Cuttack</t>
  </si>
  <si>
    <t>Kuldeep</t>
  </si>
  <si>
    <t>Sharma</t>
  </si>
  <si>
    <t>Admin</t>
  </si>
  <si>
    <t>south</t>
  </si>
  <si>
    <t>Hydrabad</t>
  </si>
  <si>
    <t>Beena</t>
  </si>
  <si>
    <t>Mavadia</t>
  </si>
  <si>
    <t>Mktg</t>
  </si>
  <si>
    <t>Delhi</t>
  </si>
  <si>
    <t>Seema</t>
  </si>
  <si>
    <t>Ranganathan</t>
  </si>
  <si>
    <t>R&amp;D</t>
  </si>
  <si>
    <t>Kanpur</t>
  </si>
  <si>
    <t>Julie</t>
  </si>
  <si>
    <t>D'Souza</t>
  </si>
  <si>
    <t>Mathura</t>
  </si>
  <si>
    <t>Deepak</t>
  </si>
  <si>
    <t>Jain</t>
  </si>
  <si>
    <t>Personnel</t>
  </si>
  <si>
    <t>west</t>
  </si>
  <si>
    <t>Pune</t>
  </si>
  <si>
    <t>Neena</t>
  </si>
  <si>
    <t>Mukherjee</t>
  </si>
  <si>
    <t>Agra</t>
  </si>
  <si>
    <t>Pankaj</t>
  </si>
  <si>
    <t>Sutradhar</t>
  </si>
  <si>
    <t>Ambala</t>
  </si>
  <si>
    <t>Andre</t>
  </si>
  <si>
    <t>Fernendes</t>
  </si>
  <si>
    <t>Darjeeling</t>
  </si>
  <si>
    <t>Sujay</t>
  </si>
  <si>
    <t>Madhrani</t>
  </si>
  <si>
    <t>Finance</t>
  </si>
  <si>
    <t>Shilpa</t>
  </si>
  <si>
    <t>Lele</t>
  </si>
  <si>
    <t>Jammu</t>
  </si>
  <si>
    <t>Meera</t>
  </si>
  <si>
    <t>Lalwani</t>
  </si>
  <si>
    <t>Calcutta</t>
  </si>
  <si>
    <t>Sheetal</t>
  </si>
  <si>
    <t>Desai</t>
  </si>
  <si>
    <t>Director</t>
  </si>
  <si>
    <t>cochin</t>
  </si>
  <si>
    <t>K. Sita</t>
  </si>
  <si>
    <t>Narayanan</t>
  </si>
  <si>
    <t>Priya</t>
  </si>
  <si>
    <t>Shirodkar</t>
  </si>
  <si>
    <t>Jaipur</t>
  </si>
  <si>
    <t>Aalok</t>
  </si>
  <si>
    <t>Trivedi</t>
  </si>
  <si>
    <t>Aakash</t>
  </si>
  <si>
    <t>Dixit</t>
  </si>
  <si>
    <t>Nasik</t>
  </si>
  <si>
    <t>Parvati</t>
  </si>
  <si>
    <t>Khanna</t>
  </si>
  <si>
    <t>Farhan</t>
  </si>
  <si>
    <t>Sadiq</t>
  </si>
  <si>
    <t>Satinder Kaur</t>
  </si>
  <si>
    <t>Sasan</t>
  </si>
  <si>
    <t>Patna</t>
  </si>
  <si>
    <t>Suchita</t>
  </si>
  <si>
    <t>Panchal</t>
  </si>
  <si>
    <t>Shazia</t>
  </si>
  <si>
    <t>Sheikh</t>
  </si>
  <si>
    <t>Pooja</t>
  </si>
  <si>
    <t>Nimkar</t>
  </si>
  <si>
    <t>Jasbinder</t>
  </si>
  <si>
    <t>Khurana</t>
  </si>
  <si>
    <t>Manglore</t>
  </si>
  <si>
    <t>Bharat</t>
  </si>
  <si>
    <t>Shetty</t>
  </si>
  <si>
    <t>Rishi</t>
  </si>
  <si>
    <t>Malik</t>
  </si>
  <si>
    <t>Banglore</t>
  </si>
  <si>
    <t>Mala</t>
  </si>
  <si>
    <t>Bhaduri</t>
  </si>
  <si>
    <t>Mumbai</t>
  </si>
  <si>
    <t>Hajra</t>
  </si>
  <si>
    <t>Hoonjan</t>
  </si>
  <si>
    <t>Aalam</t>
  </si>
  <si>
    <t>Qureshi</t>
  </si>
  <si>
    <t>Giriraj</t>
  </si>
  <si>
    <t>Gupta</t>
  </si>
  <si>
    <t>Ankur</t>
  </si>
  <si>
    <t>Joshi</t>
  </si>
  <si>
    <t>CCD</t>
  </si>
  <si>
    <t>Tapan</t>
  </si>
  <si>
    <t>Ghoshal</t>
  </si>
  <si>
    <t>Zarina</t>
  </si>
  <si>
    <t>Vora</t>
  </si>
  <si>
    <t>Lucknow</t>
  </si>
  <si>
    <t>Arun</t>
  </si>
  <si>
    <t>Khetan</t>
  </si>
  <si>
    <t>Surat</t>
  </si>
  <si>
    <t>Parikh</t>
  </si>
  <si>
    <t>Mysore</t>
  </si>
  <si>
    <t>Chitra</t>
  </si>
  <si>
    <t>Pednekar</t>
  </si>
  <si>
    <t>Aligarh</t>
  </si>
  <si>
    <t>Dodhia</t>
  </si>
  <si>
    <t>delhi</t>
  </si>
  <si>
    <t>Richa</t>
  </si>
  <si>
    <t>Raje</t>
  </si>
  <si>
    <t>Kirtikar</t>
  </si>
  <si>
    <t>Sardesai</t>
  </si>
  <si>
    <t>Gokhale</t>
  </si>
  <si>
    <t>Piyush</t>
  </si>
  <si>
    <t>Surti</t>
  </si>
  <si>
    <t>Shaheen</t>
  </si>
  <si>
    <t>Khan</t>
  </si>
  <si>
    <t>Kinnari</t>
  </si>
  <si>
    <t>Mehta</t>
  </si>
  <si>
    <t>Jeena</t>
  </si>
  <si>
    <t>Baig</t>
  </si>
  <si>
    <t>Vicky</t>
  </si>
  <si>
    <t>Neha</t>
  </si>
  <si>
    <t>Baroda</t>
  </si>
  <si>
    <t>Rakesh</t>
  </si>
  <si>
    <t>Kumar</t>
  </si>
  <si>
    <t>Ruheal</t>
  </si>
  <si>
    <t>Mario</t>
  </si>
  <si>
    <t>Fernandes</t>
  </si>
  <si>
    <t>Heena</t>
  </si>
  <si>
    <t>Godbole</t>
  </si>
  <si>
    <t>Mehul</t>
  </si>
  <si>
    <t>Sheth</t>
  </si>
  <si>
    <t>Nagpur</t>
  </si>
  <si>
    <t>Vishal</t>
  </si>
  <si>
    <t>Virsinghani</t>
  </si>
  <si>
    <t>Gangtok</t>
  </si>
  <si>
    <t>Lalita</t>
  </si>
  <si>
    <t>Rao</t>
  </si>
  <si>
    <t>Guwahati</t>
  </si>
  <si>
    <t>Kajal</t>
  </si>
  <si>
    <t>Joglekar</t>
  </si>
  <si>
    <t>Katti</t>
  </si>
  <si>
    <t>chennai</t>
  </si>
  <si>
    <t>Maya</t>
  </si>
  <si>
    <t>Disha</t>
  </si>
  <si>
    <t>Parmar</t>
  </si>
  <si>
    <t>Geeta</t>
  </si>
  <si>
    <t>Darekar</t>
  </si>
  <si>
    <t>Trivanadrum</t>
  </si>
  <si>
    <t>Anuradha</t>
  </si>
  <si>
    <t>Zha</t>
  </si>
  <si>
    <t>Asha</t>
  </si>
  <si>
    <t>Waheda</t>
  </si>
  <si>
    <t>Veena</t>
  </si>
  <si>
    <t>Patil</t>
  </si>
  <si>
    <t>Timsi</t>
  </si>
  <si>
    <t>Parul</t>
  </si>
  <si>
    <t>Shah</t>
  </si>
  <si>
    <t>Uday</t>
  </si>
  <si>
    <t>Naik</t>
  </si>
  <si>
    <t>Mandakini</t>
  </si>
  <si>
    <t>Pravin</t>
  </si>
  <si>
    <t>Reeta</t>
  </si>
  <si>
    <t>Surendra</t>
  </si>
  <si>
    <t>Godse</t>
  </si>
  <si>
    <t>Panji</t>
  </si>
  <si>
    <t>Yamini</t>
  </si>
  <si>
    <t>Laveena</t>
  </si>
  <si>
    <t>Shenoy</t>
  </si>
  <si>
    <t>Nita</t>
  </si>
  <si>
    <t>Pandhya</t>
  </si>
  <si>
    <t>Suraj</t>
  </si>
  <si>
    <t>Saksena</t>
  </si>
  <si>
    <t>Nayeem</t>
  </si>
  <si>
    <t>Drishti</t>
  </si>
  <si>
    <t>Deep</t>
  </si>
  <si>
    <t>Chhaya</t>
  </si>
  <si>
    <t>Sagar</t>
  </si>
  <si>
    <t>Bidkar</t>
  </si>
  <si>
    <t>Dayanand</t>
  </si>
  <si>
    <t>Gandhi</t>
  </si>
  <si>
    <t>Tara</t>
  </si>
  <si>
    <t>Phule</t>
  </si>
  <si>
    <t>Kalpana</t>
  </si>
  <si>
    <t>Shirishkar</t>
  </si>
  <si>
    <t>Kunal</t>
  </si>
  <si>
    <t>Pinky</t>
  </si>
  <si>
    <t>Robert</t>
  </si>
  <si>
    <t>Ruby</t>
  </si>
  <si>
    <t>Joseph</t>
  </si>
  <si>
    <t>Sonia</t>
  </si>
  <si>
    <t>Jignesh</t>
  </si>
  <si>
    <t>Tripathi</t>
  </si>
  <si>
    <t>Vinit</t>
  </si>
  <si>
    <t>Shrivastava</t>
  </si>
  <si>
    <t>Tejal</t>
  </si>
  <si>
    <t>Patel</t>
  </si>
  <si>
    <t>Priyanka</t>
  </si>
  <si>
    <t>Niki</t>
  </si>
  <si>
    <t>Digaria</t>
  </si>
  <si>
    <t>Payal</t>
  </si>
  <si>
    <t>Singhani</t>
  </si>
  <si>
    <t>Harsha</t>
  </si>
  <si>
    <t>Radhika</t>
  </si>
  <si>
    <t>Kulkarni</t>
  </si>
  <si>
    <t>Kabir</t>
  </si>
  <si>
    <t>Pushpa</t>
  </si>
  <si>
    <t>Raut</t>
  </si>
  <si>
    <t>Chetan</t>
  </si>
  <si>
    <t>Dalvi</t>
  </si>
  <si>
    <t>Indu</t>
  </si>
  <si>
    <t>Rupesh</t>
  </si>
  <si>
    <t>Sawant</t>
  </si>
  <si>
    <t>Name</t>
  </si>
  <si>
    <t>Marks</t>
  </si>
  <si>
    <t>Result</t>
  </si>
  <si>
    <t>Maths</t>
  </si>
  <si>
    <t>Science</t>
  </si>
  <si>
    <t>English</t>
  </si>
  <si>
    <t>Average</t>
  </si>
  <si>
    <t>Comment</t>
  </si>
  <si>
    <t>Neeraj</t>
  </si>
  <si>
    <t>Divya</t>
  </si>
  <si>
    <t>Snehal</t>
  </si>
  <si>
    <t>Rishabh</t>
  </si>
  <si>
    <t>Boolean</t>
  </si>
  <si>
    <t>text</t>
  </si>
  <si>
    <t>BOTH VALUES &gt;50</t>
  </si>
  <si>
    <t>Atleast one value &gt;50</t>
  </si>
  <si>
    <t>value1</t>
  </si>
  <si>
    <t>value2</t>
  </si>
  <si>
    <t>AND</t>
  </si>
  <si>
    <t>OR</t>
  </si>
  <si>
    <t>&gt;50</t>
  </si>
  <si>
    <t>&lt;50</t>
  </si>
  <si>
    <t>Number</t>
  </si>
  <si>
    <t>formula</t>
  </si>
  <si>
    <t>Questions</t>
  </si>
  <si>
    <t>if marks&gt;50 then TRUE else FALSE</t>
  </si>
  <si>
    <t>if marks&lt;40 then "Fail" else "Pass"</t>
  </si>
  <si>
    <t>if marks&lt;40 then 1 else 0</t>
  </si>
  <si>
    <t>if marks &lt;=35 then marks+5 else marks</t>
  </si>
  <si>
    <t>IF</t>
  </si>
  <si>
    <t>Value</t>
  </si>
  <si>
    <t>Text</t>
  </si>
  <si>
    <t>Value1</t>
  </si>
  <si>
    <t xml:space="preserve"> </t>
  </si>
  <si>
    <t>NESTED IF</t>
  </si>
  <si>
    <t>Assign Grades as follows</t>
  </si>
  <si>
    <t>&lt;=40</t>
  </si>
  <si>
    <t>Fail</t>
  </si>
  <si>
    <t>&gt;40</t>
  </si>
  <si>
    <t>Pass</t>
  </si>
  <si>
    <t>&gt;70</t>
  </si>
  <si>
    <t>Distinction</t>
  </si>
  <si>
    <t>Grade</t>
  </si>
  <si>
    <t>"Ticket Available"</t>
  </si>
  <si>
    <t>"Booking Full"</t>
  </si>
  <si>
    <t>Booked seats = total seats</t>
  </si>
  <si>
    <t>"Waiting"</t>
  </si>
  <si>
    <t>Booked seats &gt; total seats</t>
  </si>
  <si>
    <t>Train No.</t>
  </si>
  <si>
    <t>Total Seat</t>
  </si>
  <si>
    <t>Booked Seats</t>
  </si>
  <si>
    <t>Status</t>
  </si>
  <si>
    <t>Assign Booking Status as follows</t>
  </si>
  <si>
    <t>Sales dept. and north region  Employees</t>
  </si>
  <si>
    <t>Mktg or Sales dept. Employees</t>
  </si>
  <si>
    <t>Personnel dept  or west region</t>
  </si>
  <si>
    <t xml:space="preserve"> Dept Mktg or R&amp;D 12%  bonus</t>
  </si>
  <si>
    <t>north region and Ferozpur branch gets 10% raise</t>
  </si>
  <si>
    <t>Sr. No</t>
  </si>
  <si>
    <t>Basic Salary</t>
  </si>
  <si>
    <t>Prof. Tax</t>
  </si>
  <si>
    <t>Net Salary</t>
  </si>
  <si>
    <t>Professional Tax is 10% of basic salary</t>
  </si>
  <si>
    <t>Net Salary = Basic-PF</t>
  </si>
  <si>
    <t>If Basic Salary is less than 10,000 then bonus is 2000 for all others bonus is 0</t>
  </si>
  <si>
    <t>Find Employee From Sales department and North region</t>
  </si>
  <si>
    <t>Find Employees from Department Mktg or  Sales dept.</t>
  </si>
  <si>
    <t>Find Employee From Personnel department or west region</t>
  </si>
  <si>
    <t>If  Dept Mktg or R&amp;D 12%  bonus</t>
  </si>
  <si>
    <t>Employee from north region and Ferozpur branch gets 10% raise</t>
  </si>
  <si>
    <t>AND IF OR</t>
  </si>
  <si>
    <t>IFERROR</t>
  </si>
  <si>
    <t>Result without</t>
  </si>
  <si>
    <t>Result with iferror</t>
  </si>
  <si>
    <t>Booked seats &lt; total seats</t>
  </si>
  <si>
    <t>is today Sunday</t>
  </si>
  <si>
    <t>Day</t>
  </si>
  <si>
    <t>Output</t>
  </si>
  <si>
    <t>Sunday</t>
  </si>
  <si>
    <t>are the number are equal</t>
  </si>
  <si>
    <t>n1</t>
  </si>
  <si>
    <t>n2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</si>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</sst>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13">
    <font>
      <sz val="16"/>
      <color theme="1"/>
      <name val="Arial Rounded"/>
      <scheme val="minor"/>
    </font>
    <font>
      <sz val="12"/>
      <color theme="1"/>
      <name val="Arial Rounded"/>
    </font>
    <font>
      <b/>
      <sz val="10"/>
      <color theme="1"/>
      <name val="Calibri"/>
    </font>
    <font>
      <sz val="10"/>
      <color theme="1"/>
      <name val="Calibri"/>
    </font>
    <font>
      <sz val="16"/>
      <color theme="1"/>
      <name val="Arial Rounded"/>
    </font>
    <font>
      <b/>
      <sz val="12"/>
      <color theme="1"/>
      <name val="Arial Rounded"/>
      <scheme val="minor"/>
    </font>
    <font>
      <sz val="12"/>
      <color theme="1"/>
      <name val="Arial Rounded"/>
      <scheme val="minor"/>
    </font>
    <font>
      <sz val="12"/>
      <color theme="1"/>
      <name val="Arial"/>
      <family val="2"/>
    </font>
    <font>
      <b/>
      <sz val="16"/>
      <color theme="1"/>
      <name val="Arial Rounded"/>
      <scheme val="minor"/>
    </font>
    <font>
      <sz val="11"/>
      <color theme="1"/>
      <name val="Arial Rounded"/>
      <scheme val="minor"/>
    </font>
    <font>
      <b/>
      <sz val="11"/>
      <color theme="1"/>
      <name val="Arial Rounded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FF66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4" fillId="0" borderId="1" xfId="0" applyFont="1" applyBorder="1"/>
    <xf numFmtId="0" fontId="5" fillId="3" borderId="3" xfId="0" applyFont="1" applyFill="1" applyBorder="1"/>
    <xf numFmtId="0" fontId="6" fillId="0" borderId="3" xfId="0" applyFont="1" applyBorder="1"/>
    <xf numFmtId="2" fontId="0" fillId="0" borderId="3" xfId="0" applyNumberFormat="1" applyBorder="1"/>
    <xf numFmtId="0" fontId="0" fillId="0" borderId="3" xfId="0" applyBorder="1"/>
    <xf numFmtId="0" fontId="6" fillId="0" borderId="0" xfId="0" applyFont="1"/>
    <xf numFmtId="0" fontId="0" fillId="0" borderId="0" xfId="0" quotePrefix="1"/>
    <xf numFmtId="0" fontId="0" fillId="4" borderId="3" xfId="0" applyFill="1" applyBorder="1"/>
    <xf numFmtId="0" fontId="0" fillId="3" borderId="3" xfId="0" applyFill="1" applyBorder="1"/>
    <xf numFmtId="0" fontId="8" fillId="4" borderId="0" xfId="0" applyFont="1" applyFill="1" applyAlignment="1">
      <alignment horizontal="center"/>
    </xf>
    <xf numFmtId="0" fontId="0" fillId="5" borderId="3" xfId="0" applyFill="1" applyBorder="1"/>
    <xf numFmtId="0" fontId="9" fillId="0" borderId="3" xfId="0" applyFont="1" applyBorder="1" applyAlignment="1">
      <alignment wrapText="1"/>
    </xf>
    <xf numFmtId="0" fontId="8" fillId="0" borderId="0" xfId="0" applyFont="1"/>
    <xf numFmtId="0" fontId="0" fillId="4" borderId="0" xfId="0" applyFill="1"/>
    <xf numFmtId="0" fontId="6" fillId="0" borderId="0" xfId="0" applyFont="1" applyAlignment="1">
      <alignment horizontal="left"/>
    </xf>
    <xf numFmtId="0" fontId="11" fillId="6" borderId="3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14" fontId="11" fillId="0" borderId="8" xfId="0" applyNumberFormat="1" applyFont="1" applyBorder="1" applyAlignment="1">
      <alignment horizontal="center"/>
    </xf>
    <xf numFmtId="164" fontId="11" fillId="0" borderId="8" xfId="0" applyNumberFormat="1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4" fontId="11" fillId="0" borderId="3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0" fontId="10" fillId="4" borderId="0" xfId="0" applyFont="1" applyFill="1"/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5" fillId="4" borderId="0" xfId="0" applyFont="1" applyFill="1"/>
    <xf numFmtId="0" fontId="8" fillId="4" borderId="0" xfId="0" applyFont="1" applyFill="1"/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0" fillId="0" borderId="3" xfId="0" quotePrefix="1" applyFont="1" applyBorder="1" applyAlignment="1">
      <alignment horizontal="center"/>
    </xf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5" fillId="5" borderId="4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5" xfId="0" applyFill="1" applyBorder="1" applyAlignment="1">
      <alignment horizontal="center"/>
    </xf>
    <xf numFmtId="0" fontId="11" fillId="6" borderId="6" xfId="0" applyFont="1" applyFill="1" applyBorder="1" applyAlignment="1">
      <alignment horizontal="center" wrapText="1"/>
    </xf>
    <xf numFmtId="0" fontId="11" fillId="6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/>
    </xf>
    <xf numFmtId="0" fontId="11" fillId="6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 Rounded"/>
        <a:ea typeface="Arial Rounded"/>
        <a:cs typeface="Arial Rounded"/>
      </a:majorFont>
      <a:minorFont>
        <a:latin typeface="Arial Rounded"/>
        <a:ea typeface="Arial Rounded"/>
        <a:cs typeface="Arial Rounded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C11" workbookViewId="0">
      <selection activeCell="V6" sqref="V6"/>
    </sheetView>
  </sheetViews>
  <sheetFormatPr defaultColWidth="8.4140625" defaultRowHeight="15" customHeight="1"/>
  <cols>
    <col min="1" max="1" width="2.6640625" bestFit="1" customWidth="1"/>
    <col min="2" max="2" width="6.83203125" bestFit="1" customWidth="1"/>
    <col min="3" max="3" width="7" bestFit="1" customWidth="1"/>
    <col min="4" max="4" width="6.4140625" bestFit="1" customWidth="1"/>
    <col min="5" max="5" width="3.83203125" bestFit="1" customWidth="1"/>
    <col min="6" max="6" width="6.5" bestFit="1" customWidth="1"/>
    <col min="7" max="7" width="6.08203125" bestFit="1" customWidth="1"/>
    <col min="8" max="8" width="6.1640625" bestFit="1" customWidth="1"/>
    <col min="9" max="11" width="10.33203125" bestFit="1" customWidth="1"/>
    <col min="12" max="13" width="10.25" bestFit="1" customWidth="1"/>
    <col min="14" max="14" width="7.75" bestFit="1" customWidth="1"/>
    <col min="15" max="15" width="9.08203125" bestFit="1" customWidth="1"/>
    <col min="16" max="16" width="8.25" bestFit="1" customWidth="1"/>
    <col min="17" max="17" width="7.83203125" bestFit="1" customWidth="1"/>
    <col min="18" max="18" width="6.5" bestFit="1" customWidth="1"/>
    <col min="19" max="19" width="20.1640625" bestFit="1" customWidth="1"/>
    <col min="20" max="20" width="8.1640625" bestFit="1" customWidth="1"/>
    <col min="21" max="21" width="7.4140625" bestFit="1" customWidth="1"/>
  </cols>
  <sheetData>
    <row r="1" spans="1:26" ht="46.5" customHeight="1">
      <c r="A1" s="1"/>
      <c r="B1" s="1"/>
      <c r="C1" s="1"/>
      <c r="D1" s="1"/>
      <c r="E1" s="1"/>
      <c r="F1" s="1"/>
      <c r="G1" s="1"/>
      <c r="H1" s="1"/>
      <c r="I1" s="2">
        <v>0.35</v>
      </c>
      <c r="J1" s="2">
        <v>0.3</v>
      </c>
      <c r="K1" s="1"/>
      <c r="L1" s="2">
        <v>0.1</v>
      </c>
      <c r="M1" s="2">
        <v>0.12</v>
      </c>
      <c r="N1" s="1"/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1"/>
      <c r="W1" s="1"/>
      <c r="X1" s="1"/>
      <c r="Y1" s="1"/>
      <c r="Z1" s="1"/>
    </row>
    <row r="2" spans="1:26" ht="20.25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5" t="s">
        <v>17</v>
      </c>
      <c r="L2" s="5" t="s">
        <v>18</v>
      </c>
      <c r="M2" s="5" t="s">
        <v>19</v>
      </c>
      <c r="N2" s="4" t="s">
        <v>20</v>
      </c>
      <c r="O2" s="4" t="s">
        <v>21</v>
      </c>
      <c r="P2" s="4" t="s">
        <v>21</v>
      </c>
      <c r="Q2" s="4" t="s">
        <v>22</v>
      </c>
      <c r="R2" s="4" t="s">
        <v>23</v>
      </c>
      <c r="S2" s="4" t="s">
        <v>23</v>
      </c>
      <c r="T2" s="4" t="s">
        <v>24</v>
      </c>
      <c r="U2" s="4" t="s">
        <v>25</v>
      </c>
    </row>
    <row r="3" spans="1:26" ht="20.25" customHeight="1">
      <c r="A3" s="6">
        <v>1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7">
        <v>28126</v>
      </c>
      <c r="H3" s="8">
        <v>21875</v>
      </c>
      <c r="I3" s="9">
        <f>H3*$I$1</f>
        <v>7656.2499999999991</v>
      </c>
      <c r="J3" s="9">
        <f>H3*$J$1</f>
        <v>6562.5</v>
      </c>
      <c r="K3" s="9">
        <f>SUM(H3:J3)</f>
        <v>36093.75</v>
      </c>
      <c r="L3" s="9">
        <f>H3-$L$1</f>
        <v>21874.9</v>
      </c>
      <c r="M3" s="9">
        <f>H3*$M$1</f>
        <v>2625</v>
      </c>
      <c r="N3" s="10">
        <f>K3-L3-M3</f>
        <v>11593.849999999999</v>
      </c>
      <c r="O3" s="11">
        <f>IF(H3&lt;=10000,3000,0)</f>
        <v>0</v>
      </c>
      <c r="P3" s="10" t="b">
        <f>IF(AND(D3="Sales",H3*$L$1,0)*0,0)</f>
        <v>0</v>
      </c>
      <c r="Q3" s="11">
        <f>IF(AND(D3="Admin",H3&lt;=10000),H3*0.05,0)</f>
        <v>0</v>
      </c>
      <c r="R3" s="11">
        <f>IF(OR(D3="Mktg",D3="Sales"),5000,0)</f>
        <v>5000</v>
      </c>
      <c r="S3" s="11">
        <f>IF(OR(AND(D3="CCD",H3&gt;=10000),AND(D3="personnel",H3&gt;=10000)),6000,0)</f>
        <v>0</v>
      </c>
      <c r="T3" s="11" cm="1">
        <f t="array" ref="T3">_xlfn.IFS(E3="north",4000,E3="south",4200,E3="east",3800,E3="west",3600)</f>
        <v>4000</v>
      </c>
      <c r="U3" s="11">
        <f>IF(NOT(D3="Director"),6000,0)</f>
        <v>6000</v>
      </c>
    </row>
    <row r="4" spans="1:26" ht="20.25" customHeight="1">
      <c r="A4" s="6">
        <v>2</v>
      </c>
      <c r="B4" s="6" t="s">
        <v>31</v>
      </c>
      <c r="C4" s="6" t="s">
        <v>32</v>
      </c>
      <c r="D4" s="6" t="s">
        <v>28</v>
      </c>
      <c r="E4" s="6" t="s">
        <v>33</v>
      </c>
      <c r="F4" s="6" t="s">
        <v>34</v>
      </c>
      <c r="G4" s="7">
        <v>28126</v>
      </c>
      <c r="H4" s="8">
        <v>17500</v>
      </c>
      <c r="I4" s="9">
        <f>H4*$I$1</f>
        <v>6125</v>
      </c>
      <c r="J4" s="9">
        <f t="shared" ref="J4:J67" si="0">H4*$J$1</f>
        <v>5250</v>
      </c>
      <c r="K4" s="9">
        <f t="shared" ref="K4:K67" si="1">SUM(H4:J4)</f>
        <v>28875</v>
      </c>
      <c r="L4" s="9">
        <f t="shared" ref="L4:L67" si="2">H4-$L$1</f>
        <v>17499.900000000001</v>
      </c>
      <c r="M4" s="9">
        <f t="shared" ref="M4:M67" si="3">H4*$M$1</f>
        <v>2100</v>
      </c>
      <c r="N4" s="10">
        <f t="shared" ref="N4:N67" si="4">K4-L4-M4</f>
        <v>9275.0999999999985</v>
      </c>
      <c r="O4" s="11">
        <f t="shared" ref="O4:O67" si="5">IF(H4&lt;=10000,3000,0)</f>
        <v>0</v>
      </c>
      <c r="P4" s="10"/>
      <c r="Q4" s="11">
        <f t="shared" ref="Q4:Q67" si="6">IF(AND(D4="Admin",H4&lt;=10000),H4*0.05,0)</f>
        <v>0</v>
      </c>
      <c r="R4" s="11">
        <f t="shared" ref="R4:R67" si="7">IF(OR(D4="Mktg",D4="Sales"),5000,0)</f>
        <v>5000</v>
      </c>
      <c r="S4" s="11">
        <f t="shared" ref="S4:S67" si="8">IF(OR(AND(D4="CCD",H4&gt;=10000),AND(D4="personnel",H4&gt;=10000)),6000,0)</f>
        <v>0</v>
      </c>
      <c r="T4" s="11" cm="1">
        <f t="array" ref="T4">_xlfn.IFS(E4="north",4000,E4="south",4200,E4="east",3800,E4="west",3600)</f>
        <v>3800</v>
      </c>
      <c r="U4" s="11">
        <f t="shared" ref="U4:U67" si="9">IF(NOT(D4="Director"),6000,0)</f>
        <v>6000</v>
      </c>
    </row>
    <row r="5" spans="1:26" ht="20.25" customHeight="1">
      <c r="A5" s="6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7">
        <v>36220</v>
      </c>
      <c r="H5" s="8">
        <v>7000</v>
      </c>
      <c r="I5" s="9">
        <f>H5*$I$1</f>
        <v>2450</v>
      </c>
      <c r="J5" s="9">
        <f t="shared" si="0"/>
        <v>2100</v>
      </c>
      <c r="K5" s="9">
        <f t="shared" si="1"/>
        <v>11550</v>
      </c>
      <c r="L5" s="9">
        <f t="shared" si="2"/>
        <v>6999.9</v>
      </c>
      <c r="M5" s="9">
        <f t="shared" si="3"/>
        <v>840</v>
      </c>
      <c r="N5" s="10">
        <f t="shared" si="4"/>
        <v>3710.1000000000004</v>
      </c>
      <c r="O5" s="11">
        <f t="shared" si="5"/>
        <v>3000</v>
      </c>
      <c r="P5" s="10"/>
      <c r="Q5" s="11">
        <f t="shared" si="6"/>
        <v>350</v>
      </c>
      <c r="R5" s="11">
        <f t="shared" si="7"/>
        <v>0</v>
      </c>
      <c r="S5" s="11">
        <f t="shared" si="8"/>
        <v>0</v>
      </c>
      <c r="T5" s="11" cm="1">
        <f t="array" ref="T5">_xlfn.IFS(E5="north",4000,E5="south",4200,E5="east",3800,E5="west",3600)</f>
        <v>4200</v>
      </c>
      <c r="U5" s="11">
        <f t="shared" si="9"/>
        <v>6000</v>
      </c>
    </row>
    <row r="6" spans="1:26" ht="20.25" customHeight="1">
      <c r="A6" s="6">
        <v>4</v>
      </c>
      <c r="B6" s="6" t="s">
        <v>40</v>
      </c>
      <c r="C6" s="6" t="s">
        <v>41</v>
      </c>
      <c r="D6" s="6" t="s">
        <v>42</v>
      </c>
      <c r="E6" s="6" t="s">
        <v>29</v>
      </c>
      <c r="F6" s="6" t="s">
        <v>43</v>
      </c>
      <c r="G6" s="7">
        <v>29183</v>
      </c>
      <c r="H6" s="8">
        <v>12250</v>
      </c>
      <c r="I6" s="9">
        <f t="shared" ref="I4:I67" si="10">H6*$I$1</f>
        <v>4287.5</v>
      </c>
      <c r="J6" s="9">
        <f t="shared" si="0"/>
        <v>3675</v>
      </c>
      <c r="K6" s="9">
        <f t="shared" si="1"/>
        <v>20212.5</v>
      </c>
      <c r="L6" s="9">
        <f t="shared" si="2"/>
        <v>12249.9</v>
      </c>
      <c r="M6" s="9">
        <f t="shared" si="3"/>
        <v>1470</v>
      </c>
      <c r="N6" s="10">
        <f t="shared" si="4"/>
        <v>6492.6</v>
      </c>
      <c r="O6" s="11">
        <f t="shared" si="5"/>
        <v>0</v>
      </c>
      <c r="P6" s="10"/>
      <c r="Q6" s="11">
        <f t="shared" si="6"/>
        <v>0</v>
      </c>
      <c r="R6" s="11">
        <f t="shared" si="7"/>
        <v>5000</v>
      </c>
      <c r="S6" s="11">
        <f t="shared" si="8"/>
        <v>0</v>
      </c>
      <c r="T6" s="11" cm="1">
        <f t="array" ref="T6">_xlfn.IFS(E6="north",4000,E6="south",4200,E6="east",3800,E6="west",3600)</f>
        <v>4000</v>
      </c>
      <c r="U6" s="11">
        <f t="shared" si="9"/>
        <v>6000</v>
      </c>
    </row>
    <row r="7" spans="1:26" ht="20.25" customHeight="1">
      <c r="A7" s="6">
        <v>5</v>
      </c>
      <c r="B7" s="6" t="s">
        <v>44</v>
      </c>
      <c r="C7" s="6" t="s">
        <v>45</v>
      </c>
      <c r="D7" s="6" t="s">
        <v>46</v>
      </c>
      <c r="E7" s="6" t="s">
        <v>29</v>
      </c>
      <c r="F7" s="6" t="s">
        <v>47</v>
      </c>
      <c r="G7" s="7">
        <v>32755</v>
      </c>
      <c r="H7" s="8">
        <v>21000</v>
      </c>
      <c r="I7" s="9">
        <f t="shared" si="10"/>
        <v>7349.9999999999991</v>
      </c>
      <c r="J7" s="9">
        <f t="shared" si="0"/>
        <v>6300</v>
      </c>
      <c r="K7" s="9">
        <f t="shared" si="1"/>
        <v>34650</v>
      </c>
      <c r="L7" s="9">
        <f t="shared" si="2"/>
        <v>20999.9</v>
      </c>
      <c r="M7" s="9">
        <f t="shared" si="3"/>
        <v>2520</v>
      </c>
      <c r="N7" s="10">
        <f t="shared" si="4"/>
        <v>11130.099999999999</v>
      </c>
      <c r="O7" s="11">
        <f t="shared" si="5"/>
        <v>0</v>
      </c>
      <c r="P7" s="10"/>
      <c r="Q7" s="11">
        <f t="shared" si="6"/>
        <v>0</v>
      </c>
      <c r="R7" s="11">
        <f t="shared" si="7"/>
        <v>0</v>
      </c>
      <c r="S7" s="11">
        <f t="shared" si="8"/>
        <v>0</v>
      </c>
      <c r="T7" s="11" cm="1">
        <f t="array" ref="T7">_xlfn.IFS(E7="north",4000,E7="south",4200,E7="east",3800,E7="west",3600)</f>
        <v>4000</v>
      </c>
      <c r="U7" s="11">
        <f t="shared" si="9"/>
        <v>6000</v>
      </c>
    </row>
    <row r="8" spans="1:26" ht="20.25" customHeight="1">
      <c r="A8" s="6">
        <v>6</v>
      </c>
      <c r="B8" s="6" t="s">
        <v>48</v>
      </c>
      <c r="C8" s="6" t="s">
        <v>49</v>
      </c>
      <c r="D8" s="6" t="s">
        <v>46</v>
      </c>
      <c r="E8" s="6" t="s">
        <v>29</v>
      </c>
      <c r="F8" s="6" t="s">
        <v>50</v>
      </c>
      <c r="G8" s="7">
        <v>32390</v>
      </c>
      <c r="H8" s="8">
        <v>12425</v>
      </c>
      <c r="I8" s="9">
        <f t="shared" si="10"/>
        <v>4348.75</v>
      </c>
      <c r="J8" s="9">
        <f t="shared" si="0"/>
        <v>3727.5</v>
      </c>
      <c r="K8" s="9">
        <f t="shared" si="1"/>
        <v>20501.25</v>
      </c>
      <c r="L8" s="9">
        <f t="shared" si="2"/>
        <v>12424.9</v>
      </c>
      <c r="M8" s="9">
        <f t="shared" si="3"/>
        <v>1491</v>
      </c>
      <c r="N8" s="10">
        <f t="shared" si="4"/>
        <v>6585.35</v>
      </c>
      <c r="O8" s="11">
        <f t="shared" si="5"/>
        <v>0</v>
      </c>
      <c r="P8" s="10"/>
      <c r="Q8" s="11">
        <f t="shared" si="6"/>
        <v>0</v>
      </c>
      <c r="R8" s="11">
        <f t="shared" si="7"/>
        <v>0</v>
      </c>
      <c r="S8" s="11">
        <f t="shared" si="8"/>
        <v>0</v>
      </c>
      <c r="T8" s="11" cm="1">
        <f t="array" ref="T8">_xlfn.IFS(E8="north",4000,E8="south",4200,E8="east",3800,E8="west",3600)</f>
        <v>4000</v>
      </c>
      <c r="U8" s="11">
        <f t="shared" si="9"/>
        <v>6000</v>
      </c>
    </row>
    <row r="9" spans="1:26" ht="20.25" customHeight="1">
      <c r="A9" s="6">
        <v>7</v>
      </c>
      <c r="B9" s="6" t="s">
        <v>51</v>
      </c>
      <c r="C9" s="6" t="s">
        <v>52</v>
      </c>
      <c r="D9" s="6" t="s">
        <v>53</v>
      </c>
      <c r="E9" s="6" t="s">
        <v>54</v>
      </c>
      <c r="F9" s="6" t="s">
        <v>55</v>
      </c>
      <c r="G9" s="7">
        <v>33102</v>
      </c>
      <c r="H9" s="8">
        <v>13825</v>
      </c>
      <c r="I9" s="9">
        <f t="shared" si="10"/>
        <v>4838.75</v>
      </c>
      <c r="J9" s="9">
        <f t="shared" si="0"/>
        <v>4147.5</v>
      </c>
      <c r="K9" s="9">
        <f t="shared" si="1"/>
        <v>22811.25</v>
      </c>
      <c r="L9" s="9">
        <f t="shared" si="2"/>
        <v>13824.9</v>
      </c>
      <c r="M9" s="9">
        <f t="shared" si="3"/>
        <v>1659</v>
      </c>
      <c r="N9" s="10">
        <f t="shared" si="4"/>
        <v>7327.35</v>
      </c>
      <c r="O9" s="11">
        <f t="shared" si="5"/>
        <v>0</v>
      </c>
      <c r="P9" s="10"/>
      <c r="Q9" s="11">
        <f t="shared" si="6"/>
        <v>0</v>
      </c>
      <c r="R9" s="11">
        <f t="shared" si="7"/>
        <v>0</v>
      </c>
      <c r="S9" s="11">
        <f t="shared" si="8"/>
        <v>6000</v>
      </c>
      <c r="T9" s="11" cm="1">
        <f t="array" ref="T9">_xlfn.IFS(E9="north",4000,E9="south",4200,E9="east",3800,E9="west",3600)</f>
        <v>3600</v>
      </c>
      <c r="U9" s="11">
        <f t="shared" si="9"/>
        <v>6000</v>
      </c>
    </row>
    <row r="10" spans="1:26" ht="20.25" customHeight="1">
      <c r="A10" s="6">
        <v>8</v>
      </c>
      <c r="B10" s="6" t="s">
        <v>56</v>
      </c>
      <c r="C10" s="6" t="s">
        <v>57</v>
      </c>
      <c r="D10" s="6" t="s">
        <v>46</v>
      </c>
      <c r="E10" s="6" t="s">
        <v>29</v>
      </c>
      <c r="F10" s="6" t="s">
        <v>58</v>
      </c>
      <c r="G10" s="7">
        <v>32755</v>
      </c>
      <c r="H10" s="8">
        <v>12425</v>
      </c>
      <c r="I10" s="9">
        <f t="shared" si="10"/>
        <v>4348.75</v>
      </c>
      <c r="J10" s="9">
        <f t="shared" si="0"/>
        <v>3727.5</v>
      </c>
      <c r="K10" s="9">
        <f t="shared" si="1"/>
        <v>20501.25</v>
      </c>
      <c r="L10" s="9">
        <f t="shared" si="2"/>
        <v>12424.9</v>
      </c>
      <c r="M10" s="9">
        <f t="shared" si="3"/>
        <v>1491</v>
      </c>
      <c r="N10" s="10">
        <f t="shared" si="4"/>
        <v>6585.35</v>
      </c>
      <c r="O10" s="11">
        <f t="shared" si="5"/>
        <v>0</v>
      </c>
      <c r="P10" s="10"/>
      <c r="Q10" s="11">
        <f t="shared" si="6"/>
        <v>0</v>
      </c>
      <c r="R10" s="11">
        <f t="shared" si="7"/>
        <v>0</v>
      </c>
      <c r="S10" s="11">
        <f t="shared" si="8"/>
        <v>0</v>
      </c>
      <c r="T10" s="11" cm="1">
        <f t="array" ref="T10">_xlfn.IFS(E10="north",4000,E10="south",4200,E10="east",3800,E10="west",3600)</f>
        <v>4000</v>
      </c>
      <c r="U10" s="11">
        <f t="shared" si="9"/>
        <v>6000</v>
      </c>
    </row>
    <row r="11" spans="1:26" ht="20.25" customHeight="1">
      <c r="A11" s="6">
        <v>9</v>
      </c>
      <c r="B11" s="6" t="s">
        <v>59</v>
      </c>
      <c r="C11" s="6" t="s">
        <v>60</v>
      </c>
      <c r="D11" s="6" t="s">
        <v>28</v>
      </c>
      <c r="E11" s="6" t="s">
        <v>29</v>
      </c>
      <c r="F11" s="6" t="s">
        <v>61</v>
      </c>
      <c r="G11" s="7">
        <v>36506</v>
      </c>
      <c r="H11" s="8">
        <v>14875</v>
      </c>
      <c r="I11" s="9">
        <f t="shared" si="10"/>
        <v>5206.25</v>
      </c>
      <c r="J11" s="9">
        <f t="shared" si="0"/>
        <v>4462.5</v>
      </c>
      <c r="K11" s="9">
        <f t="shared" si="1"/>
        <v>24543.75</v>
      </c>
      <c r="L11" s="9">
        <f t="shared" si="2"/>
        <v>14874.9</v>
      </c>
      <c r="M11" s="9">
        <f t="shared" si="3"/>
        <v>1785</v>
      </c>
      <c r="N11" s="10">
        <f t="shared" si="4"/>
        <v>7883.85</v>
      </c>
      <c r="O11" s="11">
        <f t="shared" si="5"/>
        <v>0</v>
      </c>
      <c r="P11" s="10"/>
      <c r="Q11" s="11">
        <f t="shared" si="6"/>
        <v>0</v>
      </c>
      <c r="R11" s="11">
        <f t="shared" si="7"/>
        <v>5000</v>
      </c>
      <c r="S11" s="11">
        <f t="shared" si="8"/>
        <v>0</v>
      </c>
      <c r="T11" s="11" cm="1">
        <f t="array" ref="T11">_xlfn.IFS(E11="north",4000,E11="south",4200,E11="east",3800,E11="west",3600)</f>
        <v>4000</v>
      </c>
      <c r="U11" s="11">
        <f t="shared" si="9"/>
        <v>6000</v>
      </c>
    </row>
    <row r="12" spans="1:26" ht="20.25" customHeight="1">
      <c r="A12" s="6">
        <v>10</v>
      </c>
      <c r="B12" s="6" t="s">
        <v>62</v>
      </c>
      <c r="C12" s="6" t="s">
        <v>63</v>
      </c>
      <c r="D12" s="6" t="s">
        <v>42</v>
      </c>
      <c r="E12" s="6" t="s">
        <v>33</v>
      </c>
      <c r="F12" s="6" t="s">
        <v>64</v>
      </c>
      <c r="G12" s="7">
        <v>28326</v>
      </c>
      <c r="H12" s="8">
        <v>15750</v>
      </c>
      <c r="I12" s="9">
        <f t="shared" si="10"/>
        <v>5512.5</v>
      </c>
      <c r="J12" s="9">
        <f t="shared" si="0"/>
        <v>4725</v>
      </c>
      <c r="K12" s="9">
        <f t="shared" si="1"/>
        <v>25987.5</v>
      </c>
      <c r="L12" s="9">
        <f t="shared" si="2"/>
        <v>15749.9</v>
      </c>
      <c r="M12" s="9">
        <f t="shared" si="3"/>
        <v>1890</v>
      </c>
      <c r="N12" s="10">
        <f t="shared" si="4"/>
        <v>8347.6</v>
      </c>
      <c r="O12" s="11">
        <f t="shared" si="5"/>
        <v>0</v>
      </c>
      <c r="P12" s="10"/>
      <c r="Q12" s="11">
        <f t="shared" si="6"/>
        <v>0</v>
      </c>
      <c r="R12" s="11">
        <f t="shared" si="7"/>
        <v>5000</v>
      </c>
      <c r="S12" s="11">
        <f t="shared" si="8"/>
        <v>0</v>
      </c>
      <c r="T12" s="11" cm="1">
        <f t="array" ref="T12">_xlfn.IFS(E12="north",4000,E12="south",4200,E12="east",3800,E12="west",3600)</f>
        <v>3800</v>
      </c>
      <c r="U12" s="11">
        <f t="shared" si="9"/>
        <v>6000</v>
      </c>
    </row>
    <row r="13" spans="1:26" ht="20.25" customHeight="1">
      <c r="A13" s="6">
        <v>11</v>
      </c>
      <c r="B13" s="6" t="s">
        <v>65</v>
      </c>
      <c r="C13" s="6" t="s">
        <v>66</v>
      </c>
      <c r="D13" s="6" t="s">
        <v>67</v>
      </c>
      <c r="E13" s="6" t="s">
        <v>54</v>
      </c>
      <c r="F13" s="6" t="s">
        <v>55</v>
      </c>
      <c r="G13" s="7">
        <v>31402</v>
      </c>
      <c r="H13" s="8">
        <v>14875</v>
      </c>
      <c r="I13" s="9">
        <f t="shared" si="10"/>
        <v>5206.25</v>
      </c>
      <c r="J13" s="9">
        <f t="shared" si="0"/>
        <v>4462.5</v>
      </c>
      <c r="K13" s="9">
        <f t="shared" si="1"/>
        <v>24543.75</v>
      </c>
      <c r="L13" s="9">
        <f t="shared" si="2"/>
        <v>14874.9</v>
      </c>
      <c r="M13" s="9">
        <f t="shared" si="3"/>
        <v>1785</v>
      </c>
      <c r="N13" s="10">
        <f t="shared" si="4"/>
        <v>7883.85</v>
      </c>
      <c r="O13" s="11">
        <f t="shared" si="5"/>
        <v>0</v>
      </c>
      <c r="P13" s="10"/>
      <c r="Q13" s="11">
        <f t="shared" si="6"/>
        <v>0</v>
      </c>
      <c r="R13" s="11">
        <f t="shared" si="7"/>
        <v>0</v>
      </c>
      <c r="S13" s="11">
        <f t="shared" si="8"/>
        <v>0</v>
      </c>
      <c r="T13" s="11" cm="1">
        <f t="array" ref="T13">_xlfn.IFS(E13="north",4000,E13="south",4200,E13="east",3800,E13="west",3600)</f>
        <v>3600</v>
      </c>
      <c r="U13" s="11">
        <f t="shared" si="9"/>
        <v>6000</v>
      </c>
    </row>
    <row r="14" spans="1:26" ht="20.25" customHeight="1">
      <c r="A14" s="6">
        <v>12</v>
      </c>
      <c r="B14" s="6" t="s">
        <v>68</v>
      </c>
      <c r="C14" s="6" t="s">
        <v>69</v>
      </c>
      <c r="D14" s="6" t="s">
        <v>37</v>
      </c>
      <c r="E14" s="6" t="s">
        <v>29</v>
      </c>
      <c r="F14" s="6" t="s">
        <v>70</v>
      </c>
      <c r="G14" s="7">
        <v>30376</v>
      </c>
      <c r="H14" s="8">
        <v>21000</v>
      </c>
      <c r="I14" s="9">
        <f t="shared" si="10"/>
        <v>7349.9999999999991</v>
      </c>
      <c r="J14" s="9">
        <f t="shared" si="0"/>
        <v>6300</v>
      </c>
      <c r="K14" s="9">
        <f t="shared" si="1"/>
        <v>34650</v>
      </c>
      <c r="L14" s="9">
        <f t="shared" si="2"/>
        <v>20999.9</v>
      </c>
      <c r="M14" s="9">
        <f t="shared" si="3"/>
        <v>2520</v>
      </c>
      <c r="N14" s="10">
        <f t="shared" si="4"/>
        <v>11130.099999999999</v>
      </c>
      <c r="O14" s="11">
        <f t="shared" si="5"/>
        <v>0</v>
      </c>
      <c r="P14" s="10"/>
      <c r="Q14" s="11">
        <f t="shared" si="6"/>
        <v>0</v>
      </c>
      <c r="R14" s="11">
        <f t="shared" si="7"/>
        <v>0</v>
      </c>
      <c r="S14" s="11">
        <f t="shared" si="8"/>
        <v>0</v>
      </c>
      <c r="T14" s="11" cm="1">
        <f t="array" ref="T14">_xlfn.IFS(E14="north",4000,E14="south",4200,E14="east",3800,E14="west",3600)</f>
        <v>4000</v>
      </c>
      <c r="U14" s="11">
        <f t="shared" si="9"/>
        <v>6000</v>
      </c>
    </row>
    <row r="15" spans="1:26" ht="20.25" customHeight="1">
      <c r="A15" s="6">
        <v>13</v>
      </c>
      <c r="B15" s="6" t="s">
        <v>71</v>
      </c>
      <c r="C15" s="6" t="s">
        <v>72</v>
      </c>
      <c r="D15" s="6" t="s">
        <v>67</v>
      </c>
      <c r="E15" s="6" t="s">
        <v>33</v>
      </c>
      <c r="F15" s="6" t="s">
        <v>73</v>
      </c>
      <c r="G15" s="7">
        <v>31027</v>
      </c>
      <c r="H15" s="8">
        <v>19250</v>
      </c>
      <c r="I15" s="9">
        <f t="shared" si="10"/>
        <v>6737.5</v>
      </c>
      <c r="J15" s="9">
        <f t="shared" si="0"/>
        <v>5775</v>
      </c>
      <c r="K15" s="9">
        <f t="shared" si="1"/>
        <v>31762.5</v>
      </c>
      <c r="L15" s="9">
        <f t="shared" si="2"/>
        <v>19249.900000000001</v>
      </c>
      <c r="M15" s="9">
        <f t="shared" si="3"/>
        <v>2310</v>
      </c>
      <c r="N15" s="10">
        <f t="shared" si="4"/>
        <v>10202.599999999999</v>
      </c>
      <c r="O15" s="11">
        <f t="shared" si="5"/>
        <v>0</v>
      </c>
      <c r="P15" s="10"/>
      <c r="Q15" s="11">
        <f t="shared" si="6"/>
        <v>0</v>
      </c>
      <c r="R15" s="11">
        <f t="shared" si="7"/>
        <v>0</v>
      </c>
      <c r="S15" s="11">
        <f t="shared" si="8"/>
        <v>0</v>
      </c>
      <c r="T15" s="11" cm="1">
        <f t="array" ref="T15">_xlfn.IFS(E15="north",4000,E15="south",4200,E15="east",3800,E15="west",3600)</f>
        <v>3800</v>
      </c>
      <c r="U15" s="11">
        <f t="shared" si="9"/>
        <v>6000</v>
      </c>
    </row>
    <row r="16" spans="1:26" ht="20.25" customHeight="1">
      <c r="A16" s="6">
        <v>14</v>
      </c>
      <c r="B16" s="6" t="s">
        <v>74</v>
      </c>
      <c r="C16" s="6" t="s">
        <v>75</v>
      </c>
      <c r="D16" s="6" t="s">
        <v>76</v>
      </c>
      <c r="E16" s="6" t="s">
        <v>38</v>
      </c>
      <c r="F16" s="6" t="s">
        <v>77</v>
      </c>
      <c r="G16" s="7">
        <v>31028</v>
      </c>
      <c r="H16" s="8">
        <v>49000</v>
      </c>
      <c r="I16" s="9">
        <f t="shared" si="10"/>
        <v>17150</v>
      </c>
      <c r="J16" s="9">
        <f t="shared" si="0"/>
        <v>14700</v>
      </c>
      <c r="K16" s="9">
        <f t="shared" si="1"/>
        <v>80850</v>
      </c>
      <c r="L16" s="9">
        <f t="shared" si="2"/>
        <v>48999.9</v>
      </c>
      <c r="M16" s="9">
        <f t="shared" si="3"/>
        <v>5880</v>
      </c>
      <c r="N16" s="10">
        <f t="shared" si="4"/>
        <v>25970.1</v>
      </c>
      <c r="O16" s="11">
        <f t="shared" si="5"/>
        <v>0</v>
      </c>
      <c r="P16" s="10"/>
      <c r="Q16" s="11">
        <f t="shared" si="6"/>
        <v>0</v>
      </c>
      <c r="R16" s="11">
        <f t="shared" si="7"/>
        <v>0</v>
      </c>
      <c r="S16" s="11">
        <f t="shared" si="8"/>
        <v>0</v>
      </c>
      <c r="T16" s="11" cm="1">
        <f t="array" ref="T16">_xlfn.IFS(E16="north",4000,E16="south",4200,E16="east",3800,E16="west",3600)</f>
        <v>4200</v>
      </c>
      <c r="U16" s="11">
        <f t="shared" si="9"/>
        <v>0</v>
      </c>
    </row>
    <row r="17" spans="1:21" ht="20.25" customHeight="1">
      <c r="A17" s="6">
        <v>15</v>
      </c>
      <c r="B17" s="6" t="s">
        <v>78</v>
      </c>
      <c r="C17" s="6" t="s">
        <v>79</v>
      </c>
      <c r="D17" s="6" t="s">
        <v>53</v>
      </c>
      <c r="E17" s="6" t="s">
        <v>29</v>
      </c>
      <c r="F17" s="6" t="s">
        <v>70</v>
      </c>
      <c r="G17" s="7">
        <v>31029</v>
      </c>
      <c r="H17" s="8">
        <v>14875</v>
      </c>
      <c r="I17" s="9">
        <f t="shared" si="10"/>
        <v>5206.25</v>
      </c>
      <c r="J17" s="9">
        <f t="shared" si="0"/>
        <v>4462.5</v>
      </c>
      <c r="K17" s="9">
        <f t="shared" si="1"/>
        <v>24543.75</v>
      </c>
      <c r="L17" s="9">
        <f t="shared" si="2"/>
        <v>14874.9</v>
      </c>
      <c r="M17" s="9">
        <f t="shared" si="3"/>
        <v>1785</v>
      </c>
      <c r="N17" s="10">
        <f t="shared" si="4"/>
        <v>7883.85</v>
      </c>
      <c r="O17" s="11">
        <f t="shared" si="5"/>
        <v>0</v>
      </c>
      <c r="P17" s="10"/>
      <c r="Q17" s="11">
        <f t="shared" si="6"/>
        <v>0</v>
      </c>
      <c r="R17" s="11">
        <f t="shared" si="7"/>
        <v>0</v>
      </c>
      <c r="S17" s="11">
        <f t="shared" si="8"/>
        <v>6000</v>
      </c>
      <c r="T17" s="11" cm="1">
        <f t="array" ref="T17">_xlfn.IFS(E17="north",4000,E17="south",4200,E17="east",3800,E17="west",3600)</f>
        <v>4000</v>
      </c>
      <c r="U17" s="11">
        <f t="shared" si="9"/>
        <v>6000</v>
      </c>
    </row>
    <row r="18" spans="1:21" ht="20.25" customHeight="1">
      <c r="A18" s="6">
        <v>16</v>
      </c>
      <c r="B18" s="6" t="s">
        <v>80</v>
      </c>
      <c r="C18" s="6" t="s">
        <v>81</v>
      </c>
      <c r="D18" s="6" t="s">
        <v>53</v>
      </c>
      <c r="E18" s="6" t="s">
        <v>29</v>
      </c>
      <c r="F18" s="6" t="s">
        <v>82</v>
      </c>
      <c r="G18" s="7">
        <v>31030</v>
      </c>
      <c r="H18" s="8">
        <v>14875</v>
      </c>
      <c r="I18" s="9">
        <f t="shared" si="10"/>
        <v>5206.25</v>
      </c>
      <c r="J18" s="9">
        <f t="shared" si="0"/>
        <v>4462.5</v>
      </c>
      <c r="K18" s="9">
        <f t="shared" si="1"/>
        <v>24543.75</v>
      </c>
      <c r="L18" s="9">
        <f t="shared" si="2"/>
        <v>14874.9</v>
      </c>
      <c r="M18" s="9">
        <f t="shared" si="3"/>
        <v>1785</v>
      </c>
      <c r="N18" s="10">
        <f t="shared" si="4"/>
        <v>7883.85</v>
      </c>
      <c r="O18" s="11">
        <f t="shared" si="5"/>
        <v>0</v>
      </c>
      <c r="P18" s="10"/>
      <c r="Q18" s="11">
        <f t="shared" si="6"/>
        <v>0</v>
      </c>
      <c r="R18" s="11">
        <f t="shared" si="7"/>
        <v>0</v>
      </c>
      <c r="S18" s="11">
        <f t="shared" si="8"/>
        <v>6000</v>
      </c>
      <c r="T18" s="11" cm="1">
        <f t="array" ref="T18">_xlfn.IFS(E18="north",4000,E18="south",4200,E18="east",3800,E18="west",3600)</f>
        <v>4000</v>
      </c>
      <c r="U18" s="11">
        <f t="shared" si="9"/>
        <v>6000</v>
      </c>
    </row>
    <row r="19" spans="1:21" ht="20.25" customHeight="1">
      <c r="A19" s="6">
        <v>17</v>
      </c>
      <c r="B19" s="6" t="s">
        <v>83</v>
      </c>
      <c r="C19" s="6" t="s">
        <v>84</v>
      </c>
      <c r="D19" s="6" t="s">
        <v>37</v>
      </c>
      <c r="E19" s="6" t="s">
        <v>33</v>
      </c>
      <c r="F19" s="6" t="s">
        <v>34</v>
      </c>
      <c r="G19" s="7">
        <v>30376</v>
      </c>
      <c r="H19" s="8">
        <v>15750</v>
      </c>
      <c r="I19" s="9">
        <f t="shared" si="10"/>
        <v>5512.5</v>
      </c>
      <c r="J19" s="9">
        <f t="shared" si="0"/>
        <v>4725</v>
      </c>
      <c r="K19" s="9">
        <f t="shared" si="1"/>
        <v>25987.5</v>
      </c>
      <c r="L19" s="9">
        <f t="shared" si="2"/>
        <v>15749.9</v>
      </c>
      <c r="M19" s="9">
        <f t="shared" si="3"/>
        <v>1890</v>
      </c>
      <c r="N19" s="10">
        <f t="shared" si="4"/>
        <v>8347.6</v>
      </c>
      <c r="O19" s="11">
        <f t="shared" si="5"/>
        <v>0</v>
      </c>
      <c r="P19" s="10"/>
      <c r="Q19" s="11">
        <f t="shared" si="6"/>
        <v>0</v>
      </c>
      <c r="R19" s="11">
        <f t="shared" si="7"/>
        <v>0</v>
      </c>
      <c r="S19" s="11">
        <f t="shared" si="8"/>
        <v>0</v>
      </c>
      <c r="T19" s="11" cm="1">
        <f t="array" ref="T19">_xlfn.IFS(E19="north",4000,E19="south",4200,E19="east",3800,E19="west",3600)</f>
        <v>3800</v>
      </c>
      <c r="U19" s="11">
        <f t="shared" si="9"/>
        <v>6000</v>
      </c>
    </row>
    <row r="20" spans="1:21" ht="20.25" customHeight="1">
      <c r="A20" s="6">
        <v>18</v>
      </c>
      <c r="B20" s="6" t="s">
        <v>85</v>
      </c>
      <c r="C20" s="6" t="s">
        <v>86</v>
      </c>
      <c r="D20" s="6" t="s">
        <v>37</v>
      </c>
      <c r="E20" s="6" t="s">
        <v>54</v>
      </c>
      <c r="F20" s="6" t="s">
        <v>87</v>
      </c>
      <c r="G20" s="7">
        <v>30376</v>
      </c>
      <c r="H20" s="8">
        <v>15750</v>
      </c>
      <c r="I20" s="9">
        <f t="shared" si="10"/>
        <v>5512.5</v>
      </c>
      <c r="J20" s="9">
        <f t="shared" si="0"/>
        <v>4725</v>
      </c>
      <c r="K20" s="9">
        <f t="shared" si="1"/>
        <v>25987.5</v>
      </c>
      <c r="L20" s="9">
        <f t="shared" si="2"/>
        <v>15749.9</v>
      </c>
      <c r="M20" s="9">
        <f t="shared" si="3"/>
        <v>1890</v>
      </c>
      <c r="N20" s="10">
        <f t="shared" si="4"/>
        <v>8347.6</v>
      </c>
      <c r="O20" s="11">
        <f t="shared" si="5"/>
        <v>0</v>
      </c>
      <c r="P20" s="10"/>
      <c r="Q20" s="11">
        <f t="shared" si="6"/>
        <v>0</v>
      </c>
      <c r="R20" s="11">
        <f t="shared" si="7"/>
        <v>0</v>
      </c>
      <c r="S20" s="11">
        <f t="shared" si="8"/>
        <v>0</v>
      </c>
      <c r="T20" s="11" cm="1">
        <f t="array" ref="T20">_xlfn.IFS(E20="north",4000,E20="south",4200,E20="east",3800,E20="west",3600)</f>
        <v>3600</v>
      </c>
      <c r="U20" s="11">
        <f t="shared" si="9"/>
        <v>6000</v>
      </c>
    </row>
    <row r="21" spans="1:21" ht="20.25" customHeight="1">
      <c r="A21" s="6">
        <v>19</v>
      </c>
      <c r="B21" s="6" t="s">
        <v>88</v>
      </c>
      <c r="C21" s="6" t="s">
        <v>89</v>
      </c>
      <c r="D21" s="6" t="s">
        <v>42</v>
      </c>
      <c r="E21" s="6" t="s">
        <v>29</v>
      </c>
      <c r="F21" s="6" t="s">
        <v>50</v>
      </c>
      <c r="G21" s="7">
        <v>31637</v>
      </c>
      <c r="H21" s="8">
        <v>10500</v>
      </c>
      <c r="I21" s="9">
        <f t="shared" si="10"/>
        <v>3674.9999999999995</v>
      </c>
      <c r="J21" s="9">
        <f t="shared" si="0"/>
        <v>3150</v>
      </c>
      <c r="K21" s="9">
        <f t="shared" si="1"/>
        <v>17325</v>
      </c>
      <c r="L21" s="9">
        <f t="shared" si="2"/>
        <v>10499.9</v>
      </c>
      <c r="M21" s="9">
        <f t="shared" si="3"/>
        <v>1260</v>
      </c>
      <c r="N21" s="10">
        <f t="shared" si="4"/>
        <v>5565.1</v>
      </c>
      <c r="O21" s="11">
        <f t="shared" si="5"/>
        <v>0</v>
      </c>
      <c r="P21" s="10"/>
      <c r="Q21" s="11">
        <f t="shared" si="6"/>
        <v>0</v>
      </c>
      <c r="R21" s="11">
        <f t="shared" si="7"/>
        <v>5000</v>
      </c>
      <c r="S21" s="11">
        <f t="shared" si="8"/>
        <v>0</v>
      </c>
      <c r="T21" s="11" cm="1">
        <f t="array" ref="T21">_xlfn.IFS(E21="north",4000,E21="south",4200,E21="east",3800,E21="west",3600)</f>
        <v>4000</v>
      </c>
      <c r="U21" s="11">
        <f t="shared" si="9"/>
        <v>6000</v>
      </c>
    </row>
    <row r="22" spans="1:21" ht="20.25" customHeight="1">
      <c r="A22" s="6">
        <v>20</v>
      </c>
      <c r="B22" s="6" t="s">
        <v>90</v>
      </c>
      <c r="C22" s="6" t="s">
        <v>91</v>
      </c>
      <c r="D22" s="6" t="s">
        <v>42</v>
      </c>
      <c r="E22" s="6" t="s">
        <v>29</v>
      </c>
      <c r="F22" s="6" t="s">
        <v>82</v>
      </c>
      <c r="G22" s="7">
        <v>36316</v>
      </c>
      <c r="H22" s="8">
        <v>5950</v>
      </c>
      <c r="I22" s="9">
        <f t="shared" si="10"/>
        <v>2082.5</v>
      </c>
      <c r="J22" s="9">
        <f t="shared" si="0"/>
        <v>1785</v>
      </c>
      <c r="K22" s="9">
        <f t="shared" si="1"/>
        <v>9817.5</v>
      </c>
      <c r="L22" s="9">
        <f t="shared" si="2"/>
        <v>5949.9</v>
      </c>
      <c r="M22" s="9">
        <f t="shared" si="3"/>
        <v>714</v>
      </c>
      <c r="N22" s="10">
        <f t="shared" si="4"/>
        <v>3153.6000000000004</v>
      </c>
      <c r="O22" s="11">
        <f t="shared" si="5"/>
        <v>3000</v>
      </c>
      <c r="P22" s="10"/>
      <c r="Q22" s="11">
        <f t="shared" si="6"/>
        <v>0</v>
      </c>
      <c r="R22" s="11">
        <f t="shared" si="7"/>
        <v>5000</v>
      </c>
      <c r="S22" s="11">
        <f t="shared" si="8"/>
        <v>0</v>
      </c>
      <c r="T22" s="11" cm="1">
        <f t="array" ref="T22">_xlfn.IFS(E22="north",4000,E22="south",4200,E22="east",3800,E22="west",3600)</f>
        <v>4000</v>
      </c>
      <c r="U22" s="11">
        <f t="shared" si="9"/>
        <v>6000</v>
      </c>
    </row>
    <row r="23" spans="1:21" ht="20.25" customHeight="1">
      <c r="A23" s="6">
        <v>21</v>
      </c>
      <c r="B23" s="6" t="s">
        <v>92</v>
      </c>
      <c r="C23" s="6" t="s">
        <v>93</v>
      </c>
      <c r="D23" s="6" t="s">
        <v>42</v>
      </c>
      <c r="E23" s="6" t="s">
        <v>33</v>
      </c>
      <c r="F23" s="6" t="s">
        <v>94</v>
      </c>
      <c r="G23" s="7">
        <v>36317</v>
      </c>
      <c r="H23" s="8">
        <v>7875</v>
      </c>
      <c r="I23" s="9">
        <f t="shared" si="10"/>
        <v>2756.25</v>
      </c>
      <c r="J23" s="9">
        <f t="shared" si="0"/>
        <v>2362.5</v>
      </c>
      <c r="K23" s="9">
        <f t="shared" si="1"/>
        <v>12993.75</v>
      </c>
      <c r="L23" s="9">
        <f t="shared" si="2"/>
        <v>7874.9</v>
      </c>
      <c r="M23" s="9">
        <f t="shared" si="3"/>
        <v>945</v>
      </c>
      <c r="N23" s="10">
        <f t="shared" si="4"/>
        <v>4173.8500000000004</v>
      </c>
      <c r="O23" s="11">
        <f t="shared" si="5"/>
        <v>3000</v>
      </c>
      <c r="P23" s="10"/>
      <c r="Q23" s="11">
        <f t="shared" si="6"/>
        <v>0</v>
      </c>
      <c r="R23" s="11">
        <f t="shared" si="7"/>
        <v>5000</v>
      </c>
      <c r="S23" s="11">
        <f t="shared" si="8"/>
        <v>0</v>
      </c>
      <c r="T23" s="11" cm="1">
        <f t="array" ref="T23">_xlfn.IFS(E23="north",4000,E23="south",4200,E23="east",3800,E23="west",3600)</f>
        <v>3800</v>
      </c>
      <c r="U23" s="11">
        <f t="shared" si="9"/>
        <v>6000</v>
      </c>
    </row>
    <row r="24" spans="1:21" ht="20.25" customHeight="1">
      <c r="A24" s="6">
        <v>22</v>
      </c>
      <c r="B24" s="6" t="s">
        <v>95</v>
      </c>
      <c r="C24" s="6" t="s">
        <v>96</v>
      </c>
      <c r="D24" s="6" t="s">
        <v>42</v>
      </c>
      <c r="E24" s="6" t="s">
        <v>54</v>
      </c>
      <c r="F24" s="6" t="s">
        <v>87</v>
      </c>
      <c r="G24" s="7">
        <v>36318</v>
      </c>
      <c r="H24" s="8">
        <v>7875</v>
      </c>
      <c r="I24" s="9">
        <f t="shared" si="10"/>
        <v>2756.25</v>
      </c>
      <c r="J24" s="9">
        <f t="shared" si="0"/>
        <v>2362.5</v>
      </c>
      <c r="K24" s="9">
        <f t="shared" si="1"/>
        <v>12993.75</v>
      </c>
      <c r="L24" s="9">
        <f t="shared" si="2"/>
        <v>7874.9</v>
      </c>
      <c r="M24" s="9">
        <f t="shared" si="3"/>
        <v>945</v>
      </c>
      <c r="N24" s="10">
        <f t="shared" si="4"/>
        <v>4173.8500000000004</v>
      </c>
      <c r="O24" s="11">
        <f t="shared" si="5"/>
        <v>3000</v>
      </c>
      <c r="P24" s="10"/>
      <c r="Q24" s="11">
        <f t="shared" si="6"/>
        <v>0</v>
      </c>
      <c r="R24" s="11">
        <f t="shared" si="7"/>
        <v>5000</v>
      </c>
      <c r="S24" s="11">
        <f t="shared" si="8"/>
        <v>0</v>
      </c>
      <c r="T24" s="11" cm="1">
        <f t="array" ref="T24">_xlfn.IFS(E24="north",4000,E24="south",4200,E24="east",3800,E24="west",3600)</f>
        <v>3600</v>
      </c>
      <c r="U24" s="11">
        <f t="shared" si="9"/>
        <v>6000</v>
      </c>
    </row>
    <row r="25" spans="1:21" ht="20.25" customHeight="1">
      <c r="A25" s="6">
        <v>23</v>
      </c>
      <c r="B25" s="6" t="s">
        <v>97</v>
      </c>
      <c r="C25" s="6" t="s">
        <v>98</v>
      </c>
      <c r="D25" s="6" t="s">
        <v>42</v>
      </c>
      <c r="E25" s="6" t="s">
        <v>54</v>
      </c>
      <c r="F25" s="6" t="s">
        <v>55</v>
      </c>
      <c r="G25" s="7">
        <v>36319</v>
      </c>
      <c r="H25" s="8">
        <v>7875</v>
      </c>
      <c r="I25" s="9">
        <f t="shared" si="10"/>
        <v>2756.25</v>
      </c>
      <c r="J25" s="9">
        <f t="shared" si="0"/>
        <v>2362.5</v>
      </c>
      <c r="K25" s="9">
        <f t="shared" si="1"/>
        <v>12993.75</v>
      </c>
      <c r="L25" s="9">
        <f t="shared" si="2"/>
        <v>7874.9</v>
      </c>
      <c r="M25" s="9">
        <f t="shared" si="3"/>
        <v>945</v>
      </c>
      <c r="N25" s="10">
        <f t="shared" si="4"/>
        <v>4173.8500000000004</v>
      </c>
      <c r="O25" s="11">
        <f t="shared" si="5"/>
        <v>3000</v>
      </c>
      <c r="P25" s="10"/>
      <c r="Q25" s="11">
        <f t="shared" si="6"/>
        <v>0</v>
      </c>
      <c r="R25" s="11">
        <f t="shared" si="7"/>
        <v>5000</v>
      </c>
      <c r="S25" s="11">
        <f t="shared" si="8"/>
        <v>0</v>
      </c>
      <c r="T25" s="11" cm="1">
        <f t="array" ref="T25">_xlfn.IFS(E25="north",4000,E25="south",4200,E25="east",3800,E25="west",3600)</f>
        <v>3600</v>
      </c>
      <c r="U25" s="11">
        <f t="shared" si="9"/>
        <v>6000</v>
      </c>
    </row>
    <row r="26" spans="1:21" ht="20.25" customHeight="1">
      <c r="A26" s="6">
        <v>24</v>
      </c>
      <c r="B26" s="6" t="s">
        <v>99</v>
      </c>
      <c r="C26" s="6" t="s">
        <v>100</v>
      </c>
      <c r="D26" s="6" t="s">
        <v>28</v>
      </c>
      <c r="E26" s="6" t="s">
        <v>54</v>
      </c>
      <c r="F26" s="6" t="s">
        <v>87</v>
      </c>
      <c r="G26" s="7">
        <v>29362</v>
      </c>
      <c r="H26" s="8">
        <v>14875</v>
      </c>
      <c r="I26" s="9">
        <f t="shared" si="10"/>
        <v>5206.25</v>
      </c>
      <c r="J26" s="9">
        <f t="shared" si="0"/>
        <v>4462.5</v>
      </c>
      <c r="K26" s="9">
        <f t="shared" si="1"/>
        <v>24543.75</v>
      </c>
      <c r="L26" s="9">
        <f t="shared" si="2"/>
        <v>14874.9</v>
      </c>
      <c r="M26" s="9">
        <f t="shared" si="3"/>
        <v>1785</v>
      </c>
      <c r="N26" s="10">
        <f t="shared" si="4"/>
        <v>7883.85</v>
      </c>
      <c r="O26" s="11">
        <f t="shared" si="5"/>
        <v>0</v>
      </c>
      <c r="P26" s="10"/>
      <c r="Q26" s="11">
        <f t="shared" si="6"/>
        <v>0</v>
      </c>
      <c r="R26" s="11">
        <f t="shared" si="7"/>
        <v>5000</v>
      </c>
      <c r="S26" s="11">
        <f t="shared" si="8"/>
        <v>0</v>
      </c>
      <c r="T26" s="11" cm="1">
        <f t="array" ref="T26">_xlfn.IFS(E26="north",4000,E26="south",4200,E26="east",3800,E26="west",3600)</f>
        <v>3600</v>
      </c>
      <c r="U26" s="11">
        <f t="shared" si="9"/>
        <v>6000</v>
      </c>
    </row>
    <row r="27" spans="1:21" ht="20.25" customHeight="1">
      <c r="A27" s="6">
        <v>25</v>
      </c>
      <c r="B27" s="6" t="s">
        <v>101</v>
      </c>
      <c r="C27" s="6" t="s">
        <v>102</v>
      </c>
      <c r="D27" s="6" t="s">
        <v>46</v>
      </c>
      <c r="E27" s="6" t="s">
        <v>38</v>
      </c>
      <c r="F27" s="6" t="s">
        <v>103</v>
      </c>
      <c r="G27" s="7">
        <v>36274</v>
      </c>
      <c r="H27" s="8">
        <v>7875</v>
      </c>
      <c r="I27" s="9">
        <f t="shared" si="10"/>
        <v>2756.25</v>
      </c>
      <c r="J27" s="9">
        <f t="shared" si="0"/>
        <v>2362.5</v>
      </c>
      <c r="K27" s="9">
        <f t="shared" si="1"/>
        <v>12993.75</v>
      </c>
      <c r="L27" s="9">
        <f t="shared" si="2"/>
        <v>7874.9</v>
      </c>
      <c r="M27" s="9">
        <f t="shared" si="3"/>
        <v>945</v>
      </c>
      <c r="N27" s="10">
        <f t="shared" si="4"/>
        <v>4173.8500000000004</v>
      </c>
      <c r="O27" s="11">
        <f t="shared" si="5"/>
        <v>3000</v>
      </c>
      <c r="P27" s="10"/>
      <c r="Q27" s="11">
        <f t="shared" si="6"/>
        <v>0</v>
      </c>
      <c r="R27" s="11">
        <f t="shared" si="7"/>
        <v>0</v>
      </c>
      <c r="S27" s="11">
        <f t="shared" si="8"/>
        <v>0</v>
      </c>
      <c r="T27" s="11" cm="1">
        <f t="array" ref="T27">_xlfn.IFS(E27="north",4000,E27="south",4200,E27="east",3800,E27="west",3600)</f>
        <v>4200</v>
      </c>
      <c r="U27" s="11">
        <f t="shared" si="9"/>
        <v>6000</v>
      </c>
    </row>
    <row r="28" spans="1:21" ht="20.25" customHeight="1">
      <c r="A28" s="6">
        <v>26</v>
      </c>
      <c r="B28" s="6" t="s">
        <v>104</v>
      </c>
      <c r="C28" s="6" t="s">
        <v>105</v>
      </c>
      <c r="D28" s="6" t="s">
        <v>28</v>
      </c>
      <c r="E28" s="6" t="s">
        <v>33</v>
      </c>
      <c r="F28" s="6" t="s">
        <v>34</v>
      </c>
      <c r="G28" s="7">
        <v>30225</v>
      </c>
      <c r="H28" s="8">
        <v>19250</v>
      </c>
      <c r="I28" s="9">
        <f t="shared" si="10"/>
        <v>6737.5</v>
      </c>
      <c r="J28" s="9">
        <f t="shared" si="0"/>
        <v>5775</v>
      </c>
      <c r="K28" s="9">
        <f t="shared" si="1"/>
        <v>31762.5</v>
      </c>
      <c r="L28" s="9">
        <f t="shared" si="2"/>
        <v>19249.900000000001</v>
      </c>
      <c r="M28" s="9">
        <f t="shared" si="3"/>
        <v>2310</v>
      </c>
      <c r="N28" s="10">
        <f t="shared" si="4"/>
        <v>10202.599999999999</v>
      </c>
      <c r="O28" s="11">
        <f t="shared" si="5"/>
        <v>0</v>
      </c>
      <c r="P28" s="10"/>
      <c r="Q28" s="11">
        <f t="shared" si="6"/>
        <v>0</v>
      </c>
      <c r="R28" s="11">
        <f t="shared" si="7"/>
        <v>5000</v>
      </c>
      <c r="S28" s="11">
        <f t="shared" si="8"/>
        <v>0</v>
      </c>
      <c r="T28" s="11" cm="1">
        <f t="array" ref="T28">_xlfn.IFS(E28="north",4000,E28="south",4200,E28="east",3800,E28="west",3600)</f>
        <v>3800</v>
      </c>
      <c r="U28" s="11">
        <f t="shared" si="9"/>
        <v>6000</v>
      </c>
    </row>
    <row r="29" spans="1:21" ht="20.25" customHeight="1">
      <c r="A29" s="6">
        <v>27</v>
      </c>
      <c r="B29" s="6" t="s">
        <v>106</v>
      </c>
      <c r="C29" s="6" t="s">
        <v>107</v>
      </c>
      <c r="D29" s="6" t="s">
        <v>28</v>
      </c>
      <c r="E29" s="6" t="s">
        <v>38</v>
      </c>
      <c r="F29" s="6" t="s">
        <v>108</v>
      </c>
      <c r="G29" s="7">
        <v>33787</v>
      </c>
      <c r="H29" s="8">
        <v>13125</v>
      </c>
      <c r="I29" s="9">
        <f t="shared" si="10"/>
        <v>4593.75</v>
      </c>
      <c r="J29" s="9">
        <f t="shared" si="0"/>
        <v>3937.5</v>
      </c>
      <c r="K29" s="9">
        <f t="shared" si="1"/>
        <v>21656.25</v>
      </c>
      <c r="L29" s="9">
        <f t="shared" si="2"/>
        <v>13124.9</v>
      </c>
      <c r="M29" s="9">
        <f t="shared" si="3"/>
        <v>1575</v>
      </c>
      <c r="N29" s="10">
        <f t="shared" si="4"/>
        <v>6956.35</v>
      </c>
      <c r="O29" s="11">
        <f t="shared" si="5"/>
        <v>0</v>
      </c>
      <c r="P29" s="10"/>
      <c r="Q29" s="11">
        <f t="shared" si="6"/>
        <v>0</v>
      </c>
      <c r="R29" s="11">
        <f t="shared" si="7"/>
        <v>5000</v>
      </c>
      <c r="S29" s="11">
        <f t="shared" si="8"/>
        <v>0</v>
      </c>
      <c r="T29" s="11" cm="1">
        <f t="array" ref="T29">_xlfn.IFS(E29="north",4000,E29="south",4200,E29="east",3800,E29="west",3600)</f>
        <v>4200</v>
      </c>
      <c r="U29" s="11">
        <f t="shared" si="9"/>
        <v>6000</v>
      </c>
    </row>
    <row r="30" spans="1:21" ht="20.25" customHeight="1">
      <c r="A30" s="6">
        <v>28</v>
      </c>
      <c r="B30" s="6" t="s">
        <v>109</v>
      </c>
      <c r="C30" s="6" t="s">
        <v>110</v>
      </c>
      <c r="D30" s="6" t="s">
        <v>46</v>
      </c>
      <c r="E30" s="6" t="s">
        <v>54</v>
      </c>
      <c r="F30" s="6" t="s">
        <v>111</v>
      </c>
      <c r="G30" s="7">
        <v>34777</v>
      </c>
      <c r="H30" s="8">
        <v>10500</v>
      </c>
      <c r="I30" s="9">
        <f t="shared" si="10"/>
        <v>3674.9999999999995</v>
      </c>
      <c r="J30" s="9">
        <f t="shared" si="0"/>
        <v>3150</v>
      </c>
      <c r="K30" s="9">
        <f t="shared" si="1"/>
        <v>17325</v>
      </c>
      <c r="L30" s="9">
        <f t="shared" si="2"/>
        <v>10499.9</v>
      </c>
      <c r="M30" s="9">
        <f t="shared" si="3"/>
        <v>1260</v>
      </c>
      <c r="N30" s="10">
        <f t="shared" si="4"/>
        <v>5565.1</v>
      </c>
      <c r="O30" s="11">
        <f t="shared" si="5"/>
        <v>0</v>
      </c>
      <c r="P30" s="10"/>
      <c r="Q30" s="11">
        <f t="shared" si="6"/>
        <v>0</v>
      </c>
      <c r="R30" s="11">
        <f t="shared" si="7"/>
        <v>0</v>
      </c>
      <c r="S30" s="11">
        <f t="shared" si="8"/>
        <v>0</v>
      </c>
      <c r="T30" s="11" cm="1">
        <f t="array" ref="T30">_xlfn.IFS(E30="north",4000,E30="south",4200,E30="east",3800,E30="west",3600)</f>
        <v>3600</v>
      </c>
      <c r="U30" s="11">
        <f t="shared" si="9"/>
        <v>6000</v>
      </c>
    </row>
    <row r="31" spans="1:21" ht="20.25" customHeight="1">
      <c r="A31" s="6">
        <v>29</v>
      </c>
      <c r="B31" s="6" t="s">
        <v>112</v>
      </c>
      <c r="C31" s="6" t="s">
        <v>113</v>
      </c>
      <c r="D31" s="6" t="s">
        <v>37</v>
      </c>
      <c r="E31" s="6" t="s">
        <v>29</v>
      </c>
      <c r="F31" s="6" t="s">
        <v>82</v>
      </c>
      <c r="G31" s="7">
        <v>35189</v>
      </c>
      <c r="H31" s="8">
        <v>9625</v>
      </c>
      <c r="I31" s="9">
        <f t="shared" si="10"/>
        <v>3368.75</v>
      </c>
      <c r="J31" s="9">
        <f t="shared" si="0"/>
        <v>2887.5</v>
      </c>
      <c r="K31" s="9">
        <f t="shared" si="1"/>
        <v>15881.25</v>
      </c>
      <c r="L31" s="9">
        <f t="shared" si="2"/>
        <v>9624.9</v>
      </c>
      <c r="M31" s="9">
        <f t="shared" si="3"/>
        <v>1155</v>
      </c>
      <c r="N31" s="10">
        <f t="shared" si="4"/>
        <v>5101.3500000000004</v>
      </c>
      <c r="O31" s="11">
        <f t="shared" si="5"/>
        <v>3000</v>
      </c>
      <c r="P31" s="10"/>
      <c r="Q31" s="11">
        <f t="shared" si="6"/>
        <v>481.25</v>
      </c>
      <c r="R31" s="11">
        <f t="shared" si="7"/>
        <v>0</v>
      </c>
      <c r="S31" s="11">
        <f t="shared" si="8"/>
        <v>0</v>
      </c>
      <c r="T31" s="11" cm="1">
        <f t="array" ref="T31">_xlfn.IFS(E31="north",4000,E31="south",4200,E31="east",3800,E31="west",3600)</f>
        <v>4000</v>
      </c>
      <c r="U31" s="11">
        <f t="shared" si="9"/>
        <v>6000</v>
      </c>
    </row>
    <row r="32" spans="1:21" ht="20.25" customHeight="1">
      <c r="A32" s="6">
        <v>30</v>
      </c>
      <c r="B32" s="6" t="s">
        <v>114</v>
      </c>
      <c r="C32" s="6" t="s">
        <v>115</v>
      </c>
      <c r="D32" s="6" t="s">
        <v>53</v>
      </c>
      <c r="E32" s="6" t="s">
        <v>33</v>
      </c>
      <c r="F32" s="6" t="s">
        <v>94</v>
      </c>
      <c r="G32" s="7">
        <v>32435</v>
      </c>
      <c r="H32" s="8">
        <v>14175</v>
      </c>
      <c r="I32" s="9">
        <f t="shared" si="10"/>
        <v>4961.25</v>
      </c>
      <c r="J32" s="9">
        <f t="shared" si="0"/>
        <v>4252.5</v>
      </c>
      <c r="K32" s="9">
        <f t="shared" si="1"/>
        <v>23388.75</v>
      </c>
      <c r="L32" s="9">
        <f t="shared" si="2"/>
        <v>14174.9</v>
      </c>
      <c r="M32" s="9">
        <f t="shared" si="3"/>
        <v>1701</v>
      </c>
      <c r="N32" s="10">
        <f t="shared" si="4"/>
        <v>7512.85</v>
      </c>
      <c r="O32" s="11">
        <f t="shared" si="5"/>
        <v>0</v>
      </c>
      <c r="P32" s="10"/>
      <c r="Q32" s="11">
        <f t="shared" si="6"/>
        <v>0</v>
      </c>
      <c r="R32" s="11">
        <f t="shared" si="7"/>
        <v>0</v>
      </c>
      <c r="S32" s="11">
        <f t="shared" si="8"/>
        <v>6000</v>
      </c>
      <c r="T32" s="11" cm="1">
        <f t="array" ref="T32">_xlfn.IFS(E32="north",4000,E32="south",4200,E32="east",3800,E32="west",3600)</f>
        <v>3800</v>
      </c>
      <c r="U32" s="11">
        <f t="shared" si="9"/>
        <v>6000</v>
      </c>
    </row>
    <row r="33" spans="1:21" ht="20.25" customHeight="1">
      <c r="A33" s="6">
        <v>31</v>
      </c>
      <c r="B33" s="6" t="s">
        <v>116</v>
      </c>
      <c r="C33" s="6" t="s">
        <v>117</v>
      </c>
      <c r="D33" s="6" t="s">
        <v>46</v>
      </c>
      <c r="E33" s="6" t="s">
        <v>29</v>
      </c>
      <c r="F33" s="6" t="s">
        <v>58</v>
      </c>
      <c r="G33" s="7">
        <v>30225</v>
      </c>
      <c r="H33" s="8">
        <v>15750</v>
      </c>
      <c r="I33" s="9">
        <f t="shared" si="10"/>
        <v>5512.5</v>
      </c>
      <c r="J33" s="9">
        <f t="shared" si="0"/>
        <v>4725</v>
      </c>
      <c r="K33" s="9">
        <f t="shared" si="1"/>
        <v>25987.5</v>
      </c>
      <c r="L33" s="9">
        <f t="shared" si="2"/>
        <v>15749.9</v>
      </c>
      <c r="M33" s="9">
        <f t="shared" si="3"/>
        <v>1890</v>
      </c>
      <c r="N33" s="10">
        <f t="shared" si="4"/>
        <v>8347.6</v>
      </c>
      <c r="O33" s="11">
        <f t="shared" si="5"/>
        <v>0</v>
      </c>
      <c r="P33" s="10"/>
      <c r="Q33" s="11">
        <f t="shared" si="6"/>
        <v>0</v>
      </c>
      <c r="R33" s="11">
        <f t="shared" si="7"/>
        <v>0</v>
      </c>
      <c r="S33" s="11">
        <f t="shared" si="8"/>
        <v>0</v>
      </c>
      <c r="T33" s="11" cm="1">
        <f t="array" ref="T33">_xlfn.IFS(E33="north",4000,E33="south",4200,E33="east",3800,E33="west",3600)</f>
        <v>4000</v>
      </c>
      <c r="U33" s="11">
        <f t="shared" si="9"/>
        <v>6000</v>
      </c>
    </row>
    <row r="34" spans="1:21" ht="20.25" customHeight="1">
      <c r="A34" s="6">
        <v>32</v>
      </c>
      <c r="B34" s="6" t="s">
        <v>118</v>
      </c>
      <c r="C34" s="6" t="s">
        <v>119</v>
      </c>
      <c r="D34" s="6" t="s">
        <v>120</v>
      </c>
      <c r="E34" s="6" t="s">
        <v>38</v>
      </c>
      <c r="F34" s="6" t="s">
        <v>103</v>
      </c>
      <c r="G34" s="7">
        <v>30225</v>
      </c>
      <c r="H34" s="8">
        <v>15750</v>
      </c>
      <c r="I34" s="9">
        <f t="shared" si="10"/>
        <v>5512.5</v>
      </c>
      <c r="J34" s="9">
        <f t="shared" si="0"/>
        <v>4725</v>
      </c>
      <c r="K34" s="9">
        <f t="shared" si="1"/>
        <v>25987.5</v>
      </c>
      <c r="L34" s="9">
        <f t="shared" si="2"/>
        <v>15749.9</v>
      </c>
      <c r="M34" s="9">
        <f t="shared" si="3"/>
        <v>1890</v>
      </c>
      <c r="N34" s="10">
        <f t="shared" si="4"/>
        <v>8347.6</v>
      </c>
      <c r="O34" s="11">
        <f t="shared" si="5"/>
        <v>0</v>
      </c>
      <c r="P34" s="10"/>
      <c r="Q34" s="11">
        <f t="shared" si="6"/>
        <v>0</v>
      </c>
      <c r="R34" s="11">
        <f t="shared" si="7"/>
        <v>0</v>
      </c>
      <c r="S34" s="11">
        <f t="shared" si="8"/>
        <v>6000</v>
      </c>
      <c r="T34" s="11" cm="1">
        <f t="array" ref="T34">_xlfn.IFS(E34="north",4000,E34="south",4200,E34="east",3800,E34="west",3600)</f>
        <v>4200</v>
      </c>
      <c r="U34" s="11">
        <f t="shared" si="9"/>
        <v>6000</v>
      </c>
    </row>
    <row r="35" spans="1:21" ht="20.25" customHeight="1">
      <c r="A35" s="6">
        <v>33</v>
      </c>
      <c r="B35" s="6" t="s">
        <v>121</v>
      </c>
      <c r="C35" s="6" t="s">
        <v>122</v>
      </c>
      <c r="D35" s="6" t="s">
        <v>120</v>
      </c>
      <c r="E35" s="6" t="s">
        <v>29</v>
      </c>
      <c r="F35" s="6" t="s">
        <v>61</v>
      </c>
      <c r="G35" s="7">
        <v>35618</v>
      </c>
      <c r="H35" s="8">
        <v>7000</v>
      </c>
      <c r="I35" s="9">
        <f t="shared" si="10"/>
        <v>2450</v>
      </c>
      <c r="J35" s="9">
        <f t="shared" si="0"/>
        <v>2100</v>
      </c>
      <c r="K35" s="9">
        <f t="shared" si="1"/>
        <v>11550</v>
      </c>
      <c r="L35" s="9">
        <f t="shared" si="2"/>
        <v>6999.9</v>
      </c>
      <c r="M35" s="9">
        <f t="shared" si="3"/>
        <v>840</v>
      </c>
      <c r="N35" s="10">
        <f t="shared" si="4"/>
        <v>3710.1000000000004</v>
      </c>
      <c r="O35" s="11">
        <f t="shared" si="5"/>
        <v>3000</v>
      </c>
      <c r="P35" s="10"/>
      <c r="Q35" s="11">
        <f t="shared" si="6"/>
        <v>0</v>
      </c>
      <c r="R35" s="11">
        <f t="shared" si="7"/>
        <v>0</v>
      </c>
      <c r="S35" s="11">
        <f t="shared" si="8"/>
        <v>0</v>
      </c>
      <c r="T35" s="11" cm="1">
        <f t="array" ref="T35">_xlfn.IFS(E35="north",4000,E35="south",4200,E35="east",3800,E35="west",3600)</f>
        <v>4000</v>
      </c>
      <c r="U35" s="11">
        <f t="shared" si="9"/>
        <v>6000</v>
      </c>
    </row>
    <row r="36" spans="1:21" ht="20.25" customHeight="1">
      <c r="A36" s="6">
        <v>34</v>
      </c>
      <c r="B36" s="6" t="s">
        <v>123</v>
      </c>
      <c r="C36" s="6" t="s">
        <v>124</v>
      </c>
      <c r="D36" s="6" t="s">
        <v>120</v>
      </c>
      <c r="E36" s="6" t="s">
        <v>29</v>
      </c>
      <c r="F36" s="6" t="s">
        <v>125</v>
      </c>
      <c r="G36" s="7">
        <v>33510</v>
      </c>
      <c r="H36" s="8">
        <v>8750</v>
      </c>
      <c r="I36" s="9">
        <f t="shared" si="10"/>
        <v>3062.5</v>
      </c>
      <c r="J36" s="9">
        <f t="shared" si="0"/>
        <v>2625</v>
      </c>
      <c r="K36" s="9">
        <f t="shared" si="1"/>
        <v>14437.5</v>
      </c>
      <c r="L36" s="9">
        <f t="shared" si="2"/>
        <v>8749.9</v>
      </c>
      <c r="M36" s="9">
        <f t="shared" si="3"/>
        <v>1050</v>
      </c>
      <c r="N36" s="10">
        <f t="shared" si="4"/>
        <v>4637.6000000000004</v>
      </c>
      <c r="O36" s="11">
        <f t="shared" si="5"/>
        <v>3000</v>
      </c>
      <c r="P36" s="10"/>
      <c r="Q36" s="11">
        <f t="shared" si="6"/>
        <v>0</v>
      </c>
      <c r="R36" s="11">
        <f t="shared" si="7"/>
        <v>0</v>
      </c>
      <c r="S36" s="11">
        <f t="shared" si="8"/>
        <v>0</v>
      </c>
      <c r="T36" s="11" cm="1">
        <f t="array" ref="T36">_xlfn.IFS(E36="north",4000,E36="south",4200,E36="east",3800,E36="west",3600)</f>
        <v>4000</v>
      </c>
      <c r="U36" s="11">
        <f t="shared" si="9"/>
        <v>6000</v>
      </c>
    </row>
    <row r="37" spans="1:21" ht="20.25" customHeight="1">
      <c r="A37" s="6">
        <v>35</v>
      </c>
      <c r="B37" s="6" t="s">
        <v>126</v>
      </c>
      <c r="C37" s="6" t="s">
        <v>119</v>
      </c>
      <c r="D37" s="6" t="s">
        <v>42</v>
      </c>
      <c r="E37" s="6" t="s">
        <v>38</v>
      </c>
      <c r="F37" s="6" t="s">
        <v>103</v>
      </c>
      <c r="G37" s="7">
        <v>33729</v>
      </c>
      <c r="H37" s="8">
        <v>9275</v>
      </c>
      <c r="I37" s="9">
        <f t="shared" si="10"/>
        <v>3246.25</v>
      </c>
      <c r="J37" s="9">
        <f t="shared" si="0"/>
        <v>2782.5</v>
      </c>
      <c r="K37" s="9">
        <f t="shared" si="1"/>
        <v>15303.75</v>
      </c>
      <c r="L37" s="9">
        <f t="shared" si="2"/>
        <v>9274.9</v>
      </c>
      <c r="M37" s="9">
        <f t="shared" si="3"/>
        <v>1113</v>
      </c>
      <c r="N37" s="10">
        <f t="shared" si="4"/>
        <v>4915.8500000000004</v>
      </c>
      <c r="O37" s="11">
        <f t="shared" si="5"/>
        <v>3000</v>
      </c>
      <c r="P37" s="10"/>
      <c r="Q37" s="11">
        <f t="shared" si="6"/>
        <v>0</v>
      </c>
      <c r="R37" s="11">
        <f t="shared" si="7"/>
        <v>5000</v>
      </c>
      <c r="S37" s="11">
        <f t="shared" si="8"/>
        <v>0</v>
      </c>
      <c r="T37" s="11" cm="1">
        <f t="array" ref="T37">_xlfn.IFS(E37="north",4000,E37="south",4200,E37="east",3800,E37="west",3600)</f>
        <v>4200</v>
      </c>
      <c r="U37" s="11">
        <f t="shared" si="9"/>
        <v>6000</v>
      </c>
    </row>
    <row r="38" spans="1:21" ht="20.25" customHeight="1">
      <c r="A38" s="6">
        <v>36</v>
      </c>
      <c r="B38" s="6" t="s">
        <v>99</v>
      </c>
      <c r="C38" s="6" t="s">
        <v>127</v>
      </c>
      <c r="D38" s="6" t="s">
        <v>53</v>
      </c>
      <c r="E38" s="6" t="s">
        <v>54</v>
      </c>
      <c r="F38" s="6" t="s">
        <v>128</v>
      </c>
      <c r="G38" s="7">
        <v>34580</v>
      </c>
      <c r="H38" s="8">
        <v>11725</v>
      </c>
      <c r="I38" s="9">
        <f t="shared" si="10"/>
        <v>4103.75</v>
      </c>
      <c r="J38" s="9">
        <f t="shared" si="0"/>
        <v>3517.5</v>
      </c>
      <c r="K38" s="9">
        <f t="shared" si="1"/>
        <v>19346.25</v>
      </c>
      <c r="L38" s="9">
        <f t="shared" si="2"/>
        <v>11724.9</v>
      </c>
      <c r="M38" s="9">
        <f t="shared" si="3"/>
        <v>1407</v>
      </c>
      <c r="N38" s="10">
        <f t="shared" si="4"/>
        <v>6214.35</v>
      </c>
      <c r="O38" s="11">
        <f t="shared" si="5"/>
        <v>0</v>
      </c>
      <c r="P38" s="10"/>
      <c r="Q38" s="11">
        <f t="shared" si="6"/>
        <v>0</v>
      </c>
      <c r="R38" s="11">
        <f t="shared" si="7"/>
        <v>0</v>
      </c>
      <c r="S38" s="11">
        <f t="shared" si="8"/>
        <v>6000</v>
      </c>
      <c r="T38" s="11" cm="1">
        <f t="array" ref="T38">_xlfn.IFS(E38="north",4000,E38="south",4200,E38="east",3800,E38="west",3600)</f>
        <v>3600</v>
      </c>
      <c r="U38" s="11">
        <f t="shared" si="9"/>
        <v>6000</v>
      </c>
    </row>
    <row r="39" spans="1:21" ht="20.25" customHeight="1">
      <c r="A39" s="6">
        <v>37</v>
      </c>
      <c r="B39" s="6" t="s">
        <v>68</v>
      </c>
      <c r="C39" s="6" t="s">
        <v>129</v>
      </c>
      <c r="D39" s="6" t="s">
        <v>67</v>
      </c>
      <c r="E39" s="6" t="s">
        <v>38</v>
      </c>
      <c r="F39" s="6" t="s">
        <v>130</v>
      </c>
      <c r="G39" s="7">
        <v>30225</v>
      </c>
      <c r="H39" s="8">
        <v>24500</v>
      </c>
      <c r="I39" s="9">
        <f t="shared" si="10"/>
        <v>8575</v>
      </c>
      <c r="J39" s="9">
        <f t="shared" si="0"/>
        <v>7350</v>
      </c>
      <c r="K39" s="9">
        <f t="shared" si="1"/>
        <v>40425</v>
      </c>
      <c r="L39" s="9">
        <f t="shared" si="2"/>
        <v>24499.9</v>
      </c>
      <c r="M39" s="9">
        <f t="shared" si="3"/>
        <v>2940</v>
      </c>
      <c r="N39" s="10">
        <f t="shared" si="4"/>
        <v>12985.099999999999</v>
      </c>
      <c r="O39" s="11">
        <f t="shared" si="5"/>
        <v>0</v>
      </c>
      <c r="P39" s="10"/>
      <c r="Q39" s="11">
        <f t="shared" si="6"/>
        <v>0</v>
      </c>
      <c r="R39" s="11">
        <f t="shared" si="7"/>
        <v>0</v>
      </c>
      <c r="S39" s="11">
        <f t="shared" si="8"/>
        <v>0</v>
      </c>
      <c r="T39" s="11" cm="1">
        <f t="array" ref="T39">_xlfn.IFS(E39="north",4000,E39="south",4200,E39="east",3800,E39="west",3600)</f>
        <v>4200</v>
      </c>
      <c r="U39" s="11">
        <f t="shared" si="9"/>
        <v>6000</v>
      </c>
    </row>
    <row r="40" spans="1:21" ht="20.25" customHeight="1">
      <c r="A40" s="6">
        <v>38</v>
      </c>
      <c r="B40" s="6" t="s">
        <v>131</v>
      </c>
      <c r="C40" s="6" t="s">
        <v>132</v>
      </c>
      <c r="D40" s="6" t="s">
        <v>67</v>
      </c>
      <c r="E40" s="6" t="s">
        <v>29</v>
      </c>
      <c r="F40" s="6" t="s">
        <v>133</v>
      </c>
      <c r="G40" s="7">
        <v>30225</v>
      </c>
      <c r="H40" s="8">
        <v>24500</v>
      </c>
      <c r="I40" s="9">
        <f t="shared" si="10"/>
        <v>8575</v>
      </c>
      <c r="J40" s="9">
        <f t="shared" si="0"/>
        <v>7350</v>
      </c>
      <c r="K40" s="9">
        <f t="shared" si="1"/>
        <v>40425</v>
      </c>
      <c r="L40" s="9">
        <f t="shared" si="2"/>
        <v>24499.9</v>
      </c>
      <c r="M40" s="9">
        <f t="shared" si="3"/>
        <v>2940</v>
      </c>
      <c r="N40" s="10">
        <f t="shared" si="4"/>
        <v>12985.099999999999</v>
      </c>
      <c r="O40" s="11">
        <f t="shared" si="5"/>
        <v>0</v>
      </c>
      <c r="P40" s="10"/>
      <c r="Q40" s="11">
        <f t="shared" si="6"/>
        <v>0</v>
      </c>
      <c r="R40" s="11">
        <f t="shared" si="7"/>
        <v>0</v>
      </c>
      <c r="S40" s="11">
        <f t="shared" si="8"/>
        <v>0</v>
      </c>
      <c r="T40" s="11" cm="1">
        <f t="array" ref="T40">_xlfn.IFS(E40="north",4000,E40="south",4200,E40="east",3800,E40="west",3600)</f>
        <v>4000</v>
      </c>
      <c r="U40" s="11">
        <f t="shared" si="9"/>
        <v>6000</v>
      </c>
    </row>
    <row r="41" spans="1:21" ht="20.25" customHeight="1">
      <c r="A41" s="6">
        <v>39</v>
      </c>
      <c r="B41" s="6" t="s">
        <v>74</v>
      </c>
      <c r="C41" s="6" t="s">
        <v>134</v>
      </c>
      <c r="D41" s="6" t="s">
        <v>67</v>
      </c>
      <c r="E41" s="6" t="s">
        <v>29</v>
      </c>
      <c r="F41" s="6" t="s">
        <v>135</v>
      </c>
      <c r="G41" s="7">
        <v>30225</v>
      </c>
      <c r="H41" s="8">
        <v>24500</v>
      </c>
      <c r="I41" s="9">
        <f t="shared" si="10"/>
        <v>8575</v>
      </c>
      <c r="J41" s="9">
        <f t="shared" si="0"/>
        <v>7350</v>
      </c>
      <c r="K41" s="9">
        <f t="shared" si="1"/>
        <v>40425</v>
      </c>
      <c r="L41" s="9">
        <f t="shared" si="2"/>
        <v>24499.9</v>
      </c>
      <c r="M41" s="9">
        <f t="shared" si="3"/>
        <v>2940</v>
      </c>
      <c r="N41" s="10">
        <f t="shared" si="4"/>
        <v>12985.099999999999</v>
      </c>
      <c r="O41" s="11">
        <f t="shared" si="5"/>
        <v>0</v>
      </c>
      <c r="P41" s="10"/>
      <c r="Q41" s="11">
        <f t="shared" si="6"/>
        <v>0</v>
      </c>
      <c r="R41" s="11">
        <f t="shared" si="7"/>
        <v>0</v>
      </c>
      <c r="S41" s="11">
        <f t="shared" si="8"/>
        <v>0</v>
      </c>
      <c r="T41" s="11" cm="1">
        <f t="array" ref="T41">_xlfn.IFS(E41="north",4000,E41="south",4200,E41="east",3800,E41="west",3600)</f>
        <v>4000</v>
      </c>
      <c r="U41" s="11">
        <f t="shared" si="9"/>
        <v>6000</v>
      </c>
    </row>
    <row r="42" spans="1:21" ht="20.25" customHeight="1">
      <c r="A42" s="6">
        <v>40</v>
      </c>
      <c r="B42" s="6" t="s">
        <v>136</v>
      </c>
      <c r="C42" s="6" t="s">
        <v>137</v>
      </c>
      <c r="D42" s="6" t="s">
        <v>28</v>
      </c>
      <c r="E42" s="6" t="s">
        <v>38</v>
      </c>
      <c r="F42" s="6" t="s">
        <v>103</v>
      </c>
      <c r="G42" s="7">
        <v>33510</v>
      </c>
      <c r="H42" s="8">
        <v>10500</v>
      </c>
      <c r="I42" s="9">
        <f t="shared" si="10"/>
        <v>3674.9999999999995</v>
      </c>
      <c r="J42" s="9">
        <f t="shared" si="0"/>
        <v>3150</v>
      </c>
      <c r="K42" s="9">
        <f t="shared" si="1"/>
        <v>17325</v>
      </c>
      <c r="L42" s="9">
        <f t="shared" si="2"/>
        <v>10499.9</v>
      </c>
      <c r="M42" s="9">
        <f t="shared" si="3"/>
        <v>1260</v>
      </c>
      <c r="N42" s="10">
        <f t="shared" si="4"/>
        <v>5565.1</v>
      </c>
      <c r="O42" s="11">
        <f t="shared" si="5"/>
        <v>0</v>
      </c>
      <c r="P42" s="10"/>
      <c r="Q42" s="11">
        <f t="shared" si="6"/>
        <v>0</v>
      </c>
      <c r="R42" s="11">
        <f t="shared" si="7"/>
        <v>5000</v>
      </c>
      <c r="S42" s="11">
        <f t="shared" si="8"/>
        <v>0</v>
      </c>
      <c r="T42" s="11" cm="1">
        <f t="array" ref="T42">_xlfn.IFS(E42="north",4000,E42="south",4200,E42="east",3800,E42="west",3600)</f>
        <v>4200</v>
      </c>
      <c r="U42" s="11">
        <f t="shared" si="9"/>
        <v>6000</v>
      </c>
    </row>
    <row r="43" spans="1:21" ht="20.25" customHeight="1">
      <c r="A43" s="6">
        <v>41</v>
      </c>
      <c r="B43" s="6" t="s">
        <v>138</v>
      </c>
      <c r="C43" s="6" t="s">
        <v>139</v>
      </c>
      <c r="D43" s="6" t="s">
        <v>37</v>
      </c>
      <c r="E43" s="6" t="s">
        <v>33</v>
      </c>
      <c r="F43" s="6" t="s">
        <v>64</v>
      </c>
      <c r="G43" s="7">
        <v>35595</v>
      </c>
      <c r="H43" s="8">
        <v>7875</v>
      </c>
      <c r="I43" s="9">
        <f t="shared" si="10"/>
        <v>2756.25</v>
      </c>
      <c r="J43" s="9">
        <f t="shared" si="0"/>
        <v>2362.5</v>
      </c>
      <c r="K43" s="9">
        <f t="shared" si="1"/>
        <v>12993.75</v>
      </c>
      <c r="L43" s="9">
        <f t="shared" si="2"/>
        <v>7874.9</v>
      </c>
      <c r="M43" s="9">
        <f t="shared" si="3"/>
        <v>945</v>
      </c>
      <c r="N43" s="10">
        <f t="shared" si="4"/>
        <v>4173.8500000000004</v>
      </c>
      <c r="O43" s="11">
        <f t="shared" si="5"/>
        <v>3000</v>
      </c>
      <c r="P43" s="10"/>
      <c r="Q43" s="11">
        <f t="shared" si="6"/>
        <v>393.75</v>
      </c>
      <c r="R43" s="11">
        <f t="shared" si="7"/>
        <v>0</v>
      </c>
      <c r="S43" s="11">
        <f t="shared" si="8"/>
        <v>0</v>
      </c>
      <c r="T43" s="11" cm="1">
        <f t="array" ref="T43">_xlfn.IFS(E43="north",4000,E43="south",4200,E43="east",3800,E43="west",3600)</f>
        <v>3800</v>
      </c>
      <c r="U43" s="11">
        <f t="shared" si="9"/>
        <v>6000</v>
      </c>
    </row>
    <row r="44" spans="1:21" ht="20.25" customHeight="1">
      <c r="A44" s="6">
        <v>42</v>
      </c>
      <c r="B44" s="6" t="s">
        <v>99</v>
      </c>
      <c r="C44" s="6" t="s">
        <v>140</v>
      </c>
      <c r="D44" s="6" t="s">
        <v>46</v>
      </c>
      <c r="E44" s="6" t="s">
        <v>33</v>
      </c>
      <c r="F44" s="6" t="s">
        <v>73</v>
      </c>
      <c r="G44" s="7">
        <v>33510</v>
      </c>
      <c r="H44" s="8">
        <v>13300</v>
      </c>
      <c r="I44" s="9">
        <f t="shared" si="10"/>
        <v>4655</v>
      </c>
      <c r="J44" s="9">
        <f t="shared" si="0"/>
        <v>3990</v>
      </c>
      <c r="K44" s="9">
        <f t="shared" si="1"/>
        <v>21945</v>
      </c>
      <c r="L44" s="9">
        <f t="shared" si="2"/>
        <v>13299.9</v>
      </c>
      <c r="M44" s="9">
        <f t="shared" si="3"/>
        <v>1596</v>
      </c>
      <c r="N44" s="10">
        <f t="shared" si="4"/>
        <v>7049.1</v>
      </c>
      <c r="O44" s="11">
        <f t="shared" si="5"/>
        <v>0</v>
      </c>
      <c r="P44" s="10"/>
      <c r="Q44" s="11">
        <f t="shared" si="6"/>
        <v>0</v>
      </c>
      <c r="R44" s="11">
        <f t="shared" si="7"/>
        <v>0</v>
      </c>
      <c r="S44" s="11">
        <f t="shared" si="8"/>
        <v>0</v>
      </c>
      <c r="T44" s="11" cm="1">
        <f t="array" ref="T44">_xlfn.IFS(E44="north",4000,E44="south",4200,E44="east",3800,E44="west",3600)</f>
        <v>3800</v>
      </c>
      <c r="U44" s="11">
        <f t="shared" si="9"/>
        <v>6000</v>
      </c>
    </row>
    <row r="45" spans="1:21" ht="20.25" customHeight="1">
      <c r="A45" s="6">
        <v>43</v>
      </c>
      <c r="B45" s="6" t="s">
        <v>141</v>
      </c>
      <c r="C45" s="6" t="s">
        <v>142</v>
      </c>
      <c r="D45" s="6" t="s">
        <v>53</v>
      </c>
      <c r="E45" s="6" t="s">
        <v>54</v>
      </c>
      <c r="F45" s="6" t="s">
        <v>111</v>
      </c>
      <c r="G45" s="7">
        <v>32435</v>
      </c>
      <c r="H45" s="8">
        <v>15750</v>
      </c>
      <c r="I45" s="9">
        <f t="shared" si="10"/>
        <v>5512.5</v>
      </c>
      <c r="J45" s="9">
        <f t="shared" si="0"/>
        <v>4725</v>
      </c>
      <c r="K45" s="9">
        <f t="shared" si="1"/>
        <v>25987.5</v>
      </c>
      <c r="L45" s="9">
        <f t="shared" si="2"/>
        <v>15749.9</v>
      </c>
      <c r="M45" s="9">
        <f t="shared" si="3"/>
        <v>1890</v>
      </c>
      <c r="N45" s="10">
        <f t="shared" si="4"/>
        <v>8347.6</v>
      </c>
      <c r="O45" s="11">
        <f t="shared" si="5"/>
        <v>0</v>
      </c>
      <c r="P45" s="10"/>
      <c r="Q45" s="11">
        <f t="shared" si="6"/>
        <v>0</v>
      </c>
      <c r="R45" s="11">
        <f t="shared" si="7"/>
        <v>0</v>
      </c>
      <c r="S45" s="11">
        <f t="shared" si="8"/>
        <v>6000</v>
      </c>
      <c r="T45" s="11" cm="1">
        <f t="array" ref="T45">_xlfn.IFS(E45="north",4000,E45="south",4200,E45="east",3800,E45="west",3600)</f>
        <v>3600</v>
      </c>
      <c r="U45" s="11">
        <f t="shared" si="9"/>
        <v>6000</v>
      </c>
    </row>
    <row r="46" spans="1:21" ht="20.25" customHeight="1">
      <c r="A46" s="6">
        <v>44</v>
      </c>
      <c r="B46" s="6" t="s">
        <v>143</v>
      </c>
      <c r="C46" s="6" t="s">
        <v>144</v>
      </c>
      <c r="D46" s="6" t="s">
        <v>53</v>
      </c>
      <c r="E46" s="6" t="s">
        <v>33</v>
      </c>
      <c r="F46" s="6" t="s">
        <v>34</v>
      </c>
      <c r="G46" s="7">
        <v>33194</v>
      </c>
      <c r="H46" s="8">
        <v>13825</v>
      </c>
      <c r="I46" s="9">
        <f t="shared" si="10"/>
        <v>4838.75</v>
      </c>
      <c r="J46" s="9">
        <f t="shared" si="0"/>
        <v>4147.5</v>
      </c>
      <c r="K46" s="9">
        <f t="shared" si="1"/>
        <v>22811.25</v>
      </c>
      <c r="L46" s="9">
        <f t="shared" si="2"/>
        <v>13824.9</v>
      </c>
      <c r="M46" s="9">
        <f t="shared" si="3"/>
        <v>1659</v>
      </c>
      <c r="N46" s="10">
        <f t="shared" si="4"/>
        <v>7327.35</v>
      </c>
      <c r="O46" s="11">
        <f t="shared" si="5"/>
        <v>0</v>
      </c>
      <c r="P46" s="10"/>
      <c r="Q46" s="11">
        <f t="shared" si="6"/>
        <v>0</v>
      </c>
      <c r="R46" s="11">
        <f t="shared" si="7"/>
        <v>0</v>
      </c>
      <c r="S46" s="11">
        <f t="shared" si="8"/>
        <v>6000</v>
      </c>
      <c r="T46" s="11" cm="1">
        <f t="array" ref="T46">_xlfn.IFS(E46="north",4000,E46="south",4200,E46="east",3800,E46="west",3600)</f>
        <v>3800</v>
      </c>
      <c r="U46" s="11">
        <f t="shared" si="9"/>
        <v>6000</v>
      </c>
    </row>
    <row r="47" spans="1:21" ht="20.25" customHeight="1">
      <c r="A47" s="6">
        <v>45</v>
      </c>
      <c r="B47" s="6" t="s">
        <v>145</v>
      </c>
      <c r="C47" s="6" t="s">
        <v>146</v>
      </c>
      <c r="D47" s="6" t="s">
        <v>46</v>
      </c>
      <c r="E47" s="6" t="s">
        <v>29</v>
      </c>
      <c r="F47" s="6" t="s">
        <v>30</v>
      </c>
      <c r="G47" s="7">
        <v>35618</v>
      </c>
      <c r="H47" s="8">
        <v>11375</v>
      </c>
      <c r="I47" s="9">
        <f t="shared" si="10"/>
        <v>3981.2499999999995</v>
      </c>
      <c r="J47" s="9">
        <f t="shared" si="0"/>
        <v>3412.5</v>
      </c>
      <c r="K47" s="9">
        <f t="shared" si="1"/>
        <v>18768.75</v>
      </c>
      <c r="L47" s="9">
        <f t="shared" si="2"/>
        <v>11374.9</v>
      </c>
      <c r="M47" s="9">
        <f t="shared" si="3"/>
        <v>1365</v>
      </c>
      <c r="N47" s="10">
        <f t="shared" si="4"/>
        <v>6028.85</v>
      </c>
      <c r="O47" s="11">
        <f t="shared" si="5"/>
        <v>0</v>
      </c>
      <c r="P47" s="10"/>
      <c r="Q47" s="11">
        <f t="shared" si="6"/>
        <v>0</v>
      </c>
      <c r="R47" s="11">
        <f t="shared" si="7"/>
        <v>0</v>
      </c>
      <c r="S47" s="11">
        <f t="shared" si="8"/>
        <v>0</v>
      </c>
      <c r="T47" s="11" cm="1">
        <f t="array" ref="T47">_xlfn.IFS(E47="north",4000,E47="south",4200,E47="east",3800,E47="west",3600)</f>
        <v>4000</v>
      </c>
      <c r="U47" s="11">
        <f t="shared" si="9"/>
        <v>6000</v>
      </c>
    </row>
    <row r="48" spans="1:21" ht="20.25" customHeight="1">
      <c r="A48" s="6">
        <v>46</v>
      </c>
      <c r="B48" s="6" t="s">
        <v>147</v>
      </c>
      <c r="C48" s="6" t="s">
        <v>148</v>
      </c>
      <c r="D48" s="6" t="s">
        <v>28</v>
      </c>
      <c r="E48" s="6" t="s">
        <v>29</v>
      </c>
      <c r="F48" s="6" t="s">
        <v>125</v>
      </c>
      <c r="G48" s="7">
        <v>33510</v>
      </c>
      <c r="H48" s="8">
        <v>15750</v>
      </c>
      <c r="I48" s="9">
        <f t="shared" si="10"/>
        <v>5512.5</v>
      </c>
      <c r="J48" s="9">
        <f t="shared" si="0"/>
        <v>4725</v>
      </c>
      <c r="K48" s="9">
        <f t="shared" si="1"/>
        <v>25987.5</v>
      </c>
      <c r="L48" s="9">
        <f t="shared" si="2"/>
        <v>15749.9</v>
      </c>
      <c r="M48" s="9">
        <f t="shared" si="3"/>
        <v>1890</v>
      </c>
      <c r="N48" s="10">
        <f t="shared" si="4"/>
        <v>8347.6</v>
      </c>
      <c r="O48" s="11">
        <f t="shared" si="5"/>
        <v>0</v>
      </c>
      <c r="P48" s="10"/>
      <c r="Q48" s="11">
        <f t="shared" si="6"/>
        <v>0</v>
      </c>
      <c r="R48" s="11">
        <f t="shared" si="7"/>
        <v>5000</v>
      </c>
      <c r="S48" s="11">
        <f t="shared" si="8"/>
        <v>0</v>
      </c>
      <c r="T48" s="11" cm="1">
        <f t="array" ref="T48">_xlfn.IFS(E48="north",4000,E48="south",4200,E48="east",3800,E48="west",3600)</f>
        <v>4000</v>
      </c>
      <c r="U48" s="11">
        <f t="shared" si="9"/>
        <v>6000</v>
      </c>
    </row>
    <row r="49" spans="1:21" ht="20.25" customHeight="1">
      <c r="A49" s="6">
        <v>47</v>
      </c>
      <c r="B49" s="6" t="s">
        <v>149</v>
      </c>
      <c r="C49" s="6" t="s">
        <v>119</v>
      </c>
      <c r="D49" s="6" t="s">
        <v>37</v>
      </c>
      <c r="E49" s="6" t="s">
        <v>29</v>
      </c>
      <c r="F49" s="6" t="s">
        <v>47</v>
      </c>
      <c r="G49" s="7">
        <v>32180</v>
      </c>
      <c r="H49" s="8">
        <v>15750</v>
      </c>
      <c r="I49" s="9">
        <f t="shared" si="10"/>
        <v>5512.5</v>
      </c>
      <c r="J49" s="9">
        <f t="shared" si="0"/>
        <v>4725</v>
      </c>
      <c r="K49" s="9">
        <f t="shared" si="1"/>
        <v>25987.5</v>
      </c>
      <c r="L49" s="9">
        <f t="shared" si="2"/>
        <v>15749.9</v>
      </c>
      <c r="M49" s="9">
        <f t="shared" si="3"/>
        <v>1890</v>
      </c>
      <c r="N49" s="10">
        <f t="shared" si="4"/>
        <v>8347.6</v>
      </c>
      <c r="O49" s="11">
        <f t="shared" si="5"/>
        <v>0</v>
      </c>
      <c r="P49" s="10"/>
      <c r="Q49" s="11">
        <f t="shared" si="6"/>
        <v>0</v>
      </c>
      <c r="R49" s="11">
        <f t="shared" si="7"/>
        <v>0</v>
      </c>
      <c r="S49" s="11">
        <f t="shared" si="8"/>
        <v>0</v>
      </c>
      <c r="T49" s="11" cm="1">
        <f t="array" ref="T49">_xlfn.IFS(E49="north",4000,E49="south",4200,E49="east",3800,E49="west",3600)</f>
        <v>4000</v>
      </c>
      <c r="U49" s="11">
        <f t="shared" si="9"/>
        <v>6000</v>
      </c>
    </row>
    <row r="50" spans="1:21" ht="20.25" customHeight="1">
      <c r="A50" s="6">
        <v>48</v>
      </c>
      <c r="B50" s="6" t="s">
        <v>150</v>
      </c>
      <c r="C50" s="6" t="s">
        <v>119</v>
      </c>
      <c r="D50" s="6" t="s">
        <v>120</v>
      </c>
      <c r="E50" s="6" t="s">
        <v>54</v>
      </c>
      <c r="F50" s="6" t="s">
        <v>151</v>
      </c>
      <c r="G50" s="7">
        <v>32435</v>
      </c>
      <c r="H50" s="8">
        <v>15750</v>
      </c>
      <c r="I50" s="9">
        <f t="shared" si="10"/>
        <v>5512.5</v>
      </c>
      <c r="J50" s="9">
        <f t="shared" si="0"/>
        <v>4725</v>
      </c>
      <c r="K50" s="9">
        <f t="shared" si="1"/>
        <v>25987.5</v>
      </c>
      <c r="L50" s="9">
        <f t="shared" si="2"/>
        <v>15749.9</v>
      </c>
      <c r="M50" s="9">
        <f t="shared" si="3"/>
        <v>1890</v>
      </c>
      <c r="N50" s="10">
        <f t="shared" si="4"/>
        <v>8347.6</v>
      </c>
      <c r="O50" s="11">
        <f t="shared" si="5"/>
        <v>0</v>
      </c>
      <c r="P50" s="10"/>
      <c r="Q50" s="11">
        <f t="shared" si="6"/>
        <v>0</v>
      </c>
      <c r="R50" s="11">
        <f t="shared" si="7"/>
        <v>0</v>
      </c>
      <c r="S50" s="11">
        <f t="shared" si="8"/>
        <v>6000</v>
      </c>
      <c r="T50" s="11" cm="1">
        <f t="array" ref="T50">_xlfn.IFS(E50="north",4000,E50="south",4200,E50="east",3800,E50="west",3600)</f>
        <v>3600</v>
      </c>
      <c r="U50" s="11">
        <f t="shared" si="9"/>
        <v>6000</v>
      </c>
    </row>
    <row r="51" spans="1:21" ht="20.25" customHeight="1">
      <c r="A51" s="6">
        <v>49</v>
      </c>
      <c r="B51" s="6" t="s">
        <v>152</v>
      </c>
      <c r="C51" s="6" t="s">
        <v>153</v>
      </c>
      <c r="D51" s="6" t="s">
        <v>120</v>
      </c>
      <c r="E51" s="6" t="s">
        <v>38</v>
      </c>
      <c r="F51" s="6" t="s">
        <v>77</v>
      </c>
      <c r="G51" s="7">
        <v>32435</v>
      </c>
      <c r="H51" s="8">
        <v>15750</v>
      </c>
      <c r="I51" s="9">
        <f t="shared" si="10"/>
        <v>5512.5</v>
      </c>
      <c r="J51" s="9">
        <f t="shared" si="0"/>
        <v>4725</v>
      </c>
      <c r="K51" s="9">
        <f t="shared" si="1"/>
        <v>25987.5</v>
      </c>
      <c r="L51" s="9">
        <f t="shared" si="2"/>
        <v>15749.9</v>
      </c>
      <c r="M51" s="9">
        <f t="shared" si="3"/>
        <v>1890</v>
      </c>
      <c r="N51" s="10">
        <f t="shared" si="4"/>
        <v>8347.6</v>
      </c>
      <c r="O51" s="11">
        <f t="shared" si="5"/>
        <v>0</v>
      </c>
      <c r="P51" s="10"/>
      <c r="Q51" s="11">
        <f t="shared" si="6"/>
        <v>0</v>
      </c>
      <c r="R51" s="11">
        <f t="shared" si="7"/>
        <v>0</v>
      </c>
      <c r="S51" s="11">
        <f t="shared" si="8"/>
        <v>6000</v>
      </c>
      <c r="T51" s="11" cm="1">
        <f t="array" ref="T51">_xlfn.IFS(E51="north",4000,E51="south",4200,E51="east",3800,E51="west",3600)</f>
        <v>4200</v>
      </c>
      <c r="U51" s="11">
        <f t="shared" si="9"/>
        <v>6000</v>
      </c>
    </row>
    <row r="52" spans="1:21" ht="20.25" customHeight="1">
      <c r="A52" s="6">
        <v>50</v>
      </c>
      <c r="B52" s="6" t="s">
        <v>154</v>
      </c>
      <c r="C52" s="6" t="s">
        <v>148</v>
      </c>
      <c r="D52" s="6" t="s">
        <v>53</v>
      </c>
      <c r="E52" s="6" t="s">
        <v>54</v>
      </c>
      <c r="F52" s="6" t="s">
        <v>151</v>
      </c>
      <c r="G52" s="7">
        <v>32435</v>
      </c>
      <c r="H52" s="8">
        <v>15750</v>
      </c>
      <c r="I52" s="9">
        <f t="shared" si="10"/>
        <v>5512.5</v>
      </c>
      <c r="J52" s="9">
        <f t="shared" si="0"/>
        <v>4725</v>
      </c>
      <c r="K52" s="9">
        <f t="shared" si="1"/>
        <v>25987.5</v>
      </c>
      <c r="L52" s="9">
        <f t="shared" si="2"/>
        <v>15749.9</v>
      </c>
      <c r="M52" s="9">
        <f t="shared" si="3"/>
        <v>1890</v>
      </c>
      <c r="N52" s="10">
        <f t="shared" si="4"/>
        <v>8347.6</v>
      </c>
      <c r="O52" s="11">
        <f t="shared" si="5"/>
        <v>0</v>
      </c>
      <c r="P52" s="10"/>
      <c r="Q52" s="11">
        <f t="shared" si="6"/>
        <v>0</v>
      </c>
      <c r="R52" s="11">
        <f t="shared" si="7"/>
        <v>0</v>
      </c>
      <c r="S52" s="11">
        <f t="shared" si="8"/>
        <v>6000</v>
      </c>
      <c r="T52" s="11" cm="1">
        <f t="array" ref="T52">_xlfn.IFS(E52="north",4000,E52="south",4200,E52="east",3800,E52="west",3600)</f>
        <v>3600</v>
      </c>
      <c r="U52" s="11">
        <f t="shared" si="9"/>
        <v>6000</v>
      </c>
    </row>
    <row r="53" spans="1:21" ht="20.25" customHeight="1">
      <c r="A53" s="6">
        <v>51</v>
      </c>
      <c r="B53" s="6" t="s">
        <v>155</v>
      </c>
      <c r="C53" s="6" t="s">
        <v>156</v>
      </c>
      <c r="D53" s="6" t="s">
        <v>28</v>
      </c>
      <c r="E53" s="6" t="s">
        <v>29</v>
      </c>
      <c r="F53" s="6" t="s">
        <v>70</v>
      </c>
      <c r="G53" s="7">
        <v>32436</v>
      </c>
      <c r="H53" s="8">
        <v>15750</v>
      </c>
      <c r="I53" s="9">
        <f t="shared" si="10"/>
        <v>5512.5</v>
      </c>
      <c r="J53" s="9">
        <f t="shared" si="0"/>
        <v>4725</v>
      </c>
      <c r="K53" s="9">
        <f t="shared" si="1"/>
        <v>25987.5</v>
      </c>
      <c r="L53" s="9">
        <f t="shared" si="2"/>
        <v>15749.9</v>
      </c>
      <c r="M53" s="9">
        <f t="shared" si="3"/>
        <v>1890</v>
      </c>
      <c r="N53" s="10">
        <f t="shared" si="4"/>
        <v>8347.6</v>
      </c>
      <c r="O53" s="11">
        <f t="shared" si="5"/>
        <v>0</v>
      </c>
      <c r="P53" s="10"/>
      <c r="Q53" s="11">
        <f t="shared" si="6"/>
        <v>0</v>
      </c>
      <c r="R53" s="11">
        <f t="shared" si="7"/>
        <v>5000</v>
      </c>
      <c r="S53" s="11">
        <f t="shared" si="8"/>
        <v>0</v>
      </c>
      <c r="T53" s="11" cm="1">
        <f t="array" ref="T53">_xlfn.IFS(E53="north",4000,E53="south",4200,E53="east",3800,E53="west",3600)</f>
        <v>4000</v>
      </c>
      <c r="U53" s="11">
        <f t="shared" si="9"/>
        <v>6000</v>
      </c>
    </row>
    <row r="54" spans="1:21" ht="20.25" customHeight="1">
      <c r="A54" s="6">
        <v>52</v>
      </c>
      <c r="B54" s="6" t="s">
        <v>157</v>
      </c>
      <c r="C54" s="6" t="s">
        <v>158</v>
      </c>
      <c r="D54" s="6" t="s">
        <v>120</v>
      </c>
      <c r="E54" s="6" t="s">
        <v>29</v>
      </c>
      <c r="F54" s="6" t="s">
        <v>125</v>
      </c>
      <c r="G54" s="7">
        <v>32437</v>
      </c>
      <c r="H54" s="8">
        <v>19250</v>
      </c>
      <c r="I54" s="9">
        <f t="shared" si="10"/>
        <v>6737.5</v>
      </c>
      <c r="J54" s="9">
        <f t="shared" si="0"/>
        <v>5775</v>
      </c>
      <c r="K54" s="9">
        <f t="shared" si="1"/>
        <v>31762.5</v>
      </c>
      <c r="L54" s="9">
        <f t="shared" si="2"/>
        <v>19249.900000000001</v>
      </c>
      <c r="M54" s="9">
        <f t="shared" si="3"/>
        <v>2310</v>
      </c>
      <c r="N54" s="10">
        <f t="shared" si="4"/>
        <v>10202.599999999999</v>
      </c>
      <c r="O54" s="11">
        <f t="shared" si="5"/>
        <v>0</v>
      </c>
      <c r="P54" s="10"/>
      <c r="Q54" s="11">
        <f t="shared" si="6"/>
        <v>0</v>
      </c>
      <c r="R54" s="11">
        <f t="shared" si="7"/>
        <v>0</v>
      </c>
      <c r="S54" s="11">
        <f t="shared" si="8"/>
        <v>6000</v>
      </c>
      <c r="T54" s="11" cm="1">
        <f t="array" ref="T54">_xlfn.IFS(E54="north",4000,E54="south",4200,E54="east",3800,E54="west",3600)</f>
        <v>4000</v>
      </c>
      <c r="U54" s="11">
        <f t="shared" si="9"/>
        <v>6000</v>
      </c>
    </row>
    <row r="55" spans="1:21" ht="20.25" customHeight="1">
      <c r="A55" s="6">
        <v>53</v>
      </c>
      <c r="B55" s="6" t="s">
        <v>159</v>
      </c>
      <c r="C55" s="6" t="s">
        <v>160</v>
      </c>
      <c r="D55" s="6" t="s">
        <v>120</v>
      </c>
      <c r="E55" s="6" t="s">
        <v>54</v>
      </c>
      <c r="F55" s="6" t="s">
        <v>161</v>
      </c>
      <c r="G55" s="7">
        <v>35034</v>
      </c>
      <c r="H55" s="8">
        <v>15750</v>
      </c>
      <c r="I55" s="9">
        <f t="shared" si="10"/>
        <v>5512.5</v>
      </c>
      <c r="J55" s="9">
        <f t="shared" si="0"/>
        <v>4725</v>
      </c>
      <c r="K55" s="9">
        <f t="shared" si="1"/>
        <v>25987.5</v>
      </c>
      <c r="L55" s="9">
        <f t="shared" si="2"/>
        <v>15749.9</v>
      </c>
      <c r="M55" s="9">
        <f t="shared" si="3"/>
        <v>1890</v>
      </c>
      <c r="N55" s="10">
        <f t="shared" si="4"/>
        <v>8347.6</v>
      </c>
      <c r="O55" s="11">
        <f t="shared" si="5"/>
        <v>0</v>
      </c>
      <c r="P55" s="10"/>
      <c r="Q55" s="11">
        <f t="shared" si="6"/>
        <v>0</v>
      </c>
      <c r="R55" s="11">
        <f t="shared" si="7"/>
        <v>0</v>
      </c>
      <c r="S55" s="11">
        <f t="shared" si="8"/>
        <v>6000</v>
      </c>
      <c r="T55" s="11" cm="1">
        <f t="array" ref="T55">_xlfn.IFS(E55="north",4000,E55="south",4200,E55="east",3800,E55="west",3600)</f>
        <v>3600</v>
      </c>
      <c r="U55" s="11">
        <f t="shared" si="9"/>
        <v>6000</v>
      </c>
    </row>
    <row r="56" spans="1:21" ht="20.25" customHeight="1">
      <c r="A56" s="6">
        <v>54</v>
      </c>
      <c r="B56" s="6" t="s">
        <v>162</v>
      </c>
      <c r="C56" s="6" t="s">
        <v>163</v>
      </c>
      <c r="D56" s="6" t="s">
        <v>120</v>
      </c>
      <c r="E56" s="6" t="s">
        <v>33</v>
      </c>
      <c r="F56" s="6" t="s">
        <v>164</v>
      </c>
      <c r="G56" s="7">
        <v>34761</v>
      </c>
      <c r="H56" s="8">
        <v>15750</v>
      </c>
      <c r="I56" s="9">
        <f t="shared" si="10"/>
        <v>5512.5</v>
      </c>
      <c r="J56" s="9">
        <f t="shared" si="0"/>
        <v>4725</v>
      </c>
      <c r="K56" s="9">
        <f t="shared" si="1"/>
        <v>25987.5</v>
      </c>
      <c r="L56" s="9">
        <f t="shared" si="2"/>
        <v>15749.9</v>
      </c>
      <c r="M56" s="9">
        <f t="shared" si="3"/>
        <v>1890</v>
      </c>
      <c r="N56" s="10">
        <f t="shared" si="4"/>
        <v>8347.6</v>
      </c>
      <c r="O56" s="11">
        <f t="shared" si="5"/>
        <v>0</v>
      </c>
      <c r="P56" s="10"/>
      <c r="Q56" s="11">
        <f t="shared" si="6"/>
        <v>0</v>
      </c>
      <c r="R56" s="11">
        <f t="shared" si="7"/>
        <v>0</v>
      </c>
      <c r="S56" s="11">
        <f t="shared" si="8"/>
        <v>6000</v>
      </c>
      <c r="T56" s="11" cm="1">
        <f t="array" ref="T56">_xlfn.IFS(E56="north",4000,E56="south",4200,E56="east",3800,E56="west",3600)</f>
        <v>3800</v>
      </c>
      <c r="U56" s="11">
        <f t="shared" si="9"/>
        <v>6000</v>
      </c>
    </row>
    <row r="57" spans="1:21" ht="20.25" customHeight="1">
      <c r="A57" s="6">
        <v>55</v>
      </c>
      <c r="B57" s="6" t="s">
        <v>165</v>
      </c>
      <c r="C57" s="6" t="s">
        <v>166</v>
      </c>
      <c r="D57" s="6" t="s">
        <v>120</v>
      </c>
      <c r="E57" s="6" t="s">
        <v>33</v>
      </c>
      <c r="F57" s="6" t="s">
        <v>167</v>
      </c>
      <c r="G57" s="7">
        <v>31717</v>
      </c>
      <c r="H57" s="8">
        <v>15750</v>
      </c>
      <c r="I57" s="9">
        <f t="shared" si="10"/>
        <v>5512.5</v>
      </c>
      <c r="J57" s="9">
        <f t="shared" si="0"/>
        <v>4725</v>
      </c>
      <c r="K57" s="9">
        <f t="shared" si="1"/>
        <v>25987.5</v>
      </c>
      <c r="L57" s="9">
        <f t="shared" si="2"/>
        <v>15749.9</v>
      </c>
      <c r="M57" s="9">
        <f t="shared" si="3"/>
        <v>1890</v>
      </c>
      <c r="N57" s="10">
        <f t="shared" si="4"/>
        <v>8347.6</v>
      </c>
      <c r="O57" s="11">
        <f t="shared" si="5"/>
        <v>0</v>
      </c>
      <c r="P57" s="10"/>
      <c r="Q57" s="11">
        <f t="shared" si="6"/>
        <v>0</v>
      </c>
      <c r="R57" s="11">
        <f t="shared" si="7"/>
        <v>0</v>
      </c>
      <c r="S57" s="11">
        <f t="shared" si="8"/>
        <v>6000</v>
      </c>
      <c r="T57" s="11" cm="1">
        <f t="array" ref="T57">_xlfn.IFS(E57="north",4000,E57="south",4200,E57="east",3800,E57="west",3600)</f>
        <v>3800</v>
      </c>
      <c r="U57" s="11">
        <f t="shared" si="9"/>
        <v>6000</v>
      </c>
    </row>
    <row r="58" spans="1:21" ht="20.25" customHeight="1">
      <c r="A58" s="6">
        <v>56</v>
      </c>
      <c r="B58" s="6" t="s">
        <v>168</v>
      </c>
      <c r="C58" s="6" t="s">
        <v>169</v>
      </c>
      <c r="D58" s="6" t="s">
        <v>28</v>
      </c>
      <c r="E58" s="6" t="s">
        <v>54</v>
      </c>
      <c r="F58" s="6" t="s">
        <v>161</v>
      </c>
      <c r="G58" s="7">
        <v>33878</v>
      </c>
      <c r="H58" s="8">
        <v>14875</v>
      </c>
      <c r="I58" s="9">
        <f t="shared" si="10"/>
        <v>5206.25</v>
      </c>
      <c r="J58" s="9">
        <f t="shared" si="0"/>
        <v>4462.5</v>
      </c>
      <c r="K58" s="9">
        <f t="shared" si="1"/>
        <v>24543.75</v>
      </c>
      <c r="L58" s="9">
        <f t="shared" si="2"/>
        <v>14874.9</v>
      </c>
      <c r="M58" s="9">
        <f t="shared" si="3"/>
        <v>1785</v>
      </c>
      <c r="N58" s="10">
        <f t="shared" si="4"/>
        <v>7883.85</v>
      </c>
      <c r="O58" s="11">
        <f t="shared" si="5"/>
        <v>0</v>
      </c>
      <c r="P58" s="10"/>
      <c r="Q58" s="11">
        <f t="shared" si="6"/>
        <v>0</v>
      </c>
      <c r="R58" s="11">
        <f t="shared" si="7"/>
        <v>5000</v>
      </c>
      <c r="S58" s="11">
        <f t="shared" si="8"/>
        <v>0</v>
      </c>
      <c r="T58" s="11" cm="1">
        <f t="array" ref="T58">_xlfn.IFS(E58="north",4000,E58="south",4200,E58="east",3800,E58="west",3600)</f>
        <v>3600</v>
      </c>
      <c r="U58" s="11">
        <f t="shared" si="9"/>
        <v>6000</v>
      </c>
    </row>
    <row r="59" spans="1:21" ht="20.25" customHeight="1">
      <c r="A59" s="6">
        <v>57</v>
      </c>
      <c r="B59" s="6" t="s">
        <v>170</v>
      </c>
      <c r="C59" s="6" t="s">
        <v>142</v>
      </c>
      <c r="D59" s="6" t="s">
        <v>28</v>
      </c>
      <c r="E59" s="6" t="s">
        <v>38</v>
      </c>
      <c r="F59" s="6" t="s">
        <v>171</v>
      </c>
      <c r="G59" s="7">
        <v>34098</v>
      </c>
      <c r="H59" s="8">
        <v>14875</v>
      </c>
      <c r="I59" s="9">
        <f t="shared" si="10"/>
        <v>5206.25</v>
      </c>
      <c r="J59" s="9">
        <f t="shared" si="0"/>
        <v>4462.5</v>
      </c>
      <c r="K59" s="9">
        <f t="shared" si="1"/>
        <v>24543.75</v>
      </c>
      <c r="L59" s="9">
        <f t="shared" si="2"/>
        <v>14874.9</v>
      </c>
      <c r="M59" s="9">
        <f t="shared" si="3"/>
        <v>1785</v>
      </c>
      <c r="N59" s="10">
        <f t="shared" si="4"/>
        <v>7883.85</v>
      </c>
      <c r="O59" s="11">
        <f t="shared" si="5"/>
        <v>0</v>
      </c>
      <c r="P59" s="10"/>
      <c r="Q59" s="11">
        <f t="shared" si="6"/>
        <v>0</v>
      </c>
      <c r="R59" s="11">
        <f t="shared" si="7"/>
        <v>5000</v>
      </c>
      <c r="S59" s="11">
        <f t="shared" si="8"/>
        <v>0</v>
      </c>
      <c r="T59" s="11" cm="1">
        <f t="array" ref="T59">_xlfn.IFS(E59="north",4000,E59="south",4200,E59="east",3800,E59="west",3600)</f>
        <v>4200</v>
      </c>
      <c r="U59" s="11">
        <f t="shared" si="9"/>
        <v>6000</v>
      </c>
    </row>
    <row r="60" spans="1:21" ht="20.25" customHeight="1">
      <c r="A60" s="6">
        <v>58</v>
      </c>
      <c r="B60" s="6" t="s">
        <v>172</v>
      </c>
      <c r="C60" s="6" t="s">
        <v>96</v>
      </c>
      <c r="D60" s="6" t="s">
        <v>42</v>
      </c>
      <c r="E60" s="6" t="s">
        <v>29</v>
      </c>
      <c r="F60" s="6" t="s">
        <v>58</v>
      </c>
      <c r="G60" s="7">
        <v>33182</v>
      </c>
      <c r="H60" s="8">
        <v>17500</v>
      </c>
      <c r="I60" s="9">
        <f t="shared" si="10"/>
        <v>6125</v>
      </c>
      <c r="J60" s="9">
        <f t="shared" si="0"/>
        <v>5250</v>
      </c>
      <c r="K60" s="9">
        <f t="shared" si="1"/>
        <v>28875</v>
      </c>
      <c r="L60" s="9">
        <f t="shared" si="2"/>
        <v>17499.900000000001</v>
      </c>
      <c r="M60" s="9">
        <f t="shared" si="3"/>
        <v>2100</v>
      </c>
      <c r="N60" s="10">
        <f t="shared" si="4"/>
        <v>9275.0999999999985</v>
      </c>
      <c r="O60" s="11">
        <f t="shared" si="5"/>
        <v>0</v>
      </c>
      <c r="P60" s="10"/>
      <c r="Q60" s="11">
        <f t="shared" si="6"/>
        <v>0</v>
      </c>
      <c r="R60" s="11">
        <f t="shared" si="7"/>
        <v>5000</v>
      </c>
      <c r="S60" s="11">
        <f t="shared" si="8"/>
        <v>0</v>
      </c>
      <c r="T60" s="11" cm="1">
        <f t="array" ref="T60">_xlfn.IFS(E60="north",4000,E60="south",4200,E60="east",3800,E60="west",3600)</f>
        <v>4000</v>
      </c>
      <c r="U60" s="11">
        <f t="shared" si="9"/>
        <v>6000</v>
      </c>
    </row>
    <row r="61" spans="1:21" ht="20.25" customHeight="1">
      <c r="A61" s="6">
        <v>59</v>
      </c>
      <c r="B61" s="6" t="s">
        <v>173</v>
      </c>
      <c r="C61" s="6" t="s">
        <v>174</v>
      </c>
      <c r="D61" s="6" t="s">
        <v>37</v>
      </c>
      <c r="E61" s="6" t="s">
        <v>38</v>
      </c>
      <c r="F61" s="6" t="s">
        <v>108</v>
      </c>
      <c r="G61" s="7">
        <v>31791</v>
      </c>
      <c r="H61" s="8">
        <v>19250</v>
      </c>
      <c r="I61" s="9">
        <f t="shared" si="10"/>
        <v>6737.5</v>
      </c>
      <c r="J61" s="9">
        <f t="shared" si="0"/>
        <v>5775</v>
      </c>
      <c r="K61" s="9">
        <f t="shared" si="1"/>
        <v>31762.5</v>
      </c>
      <c r="L61" s="9">
        <f t="shared" si="2"/>
        <v>19249.900000000001</v>
      </c>
      <c r="M61" s="9">
        <f t="shared" si="3"/>
        <v>2310</v>
      </c>
      <c r="N61" s="10">
        <f t="shared" si="4"/>
        <v>10202.599999999999</v>
      </c>
      <c r="O61" s="11">
        <f t="shared" si="5"/>
        <v>0</v>
      </c>
      <c r="P61" s="10"/>
      <c r="Q61" s="11">
        <f t="shared" si="6"/>
        <v>0</v>
      </c>
      <c r="R61" s="11">
        <f t="shared" si="7"/>
        <v>0</v>
      </c>
      <c r="S61" s="11">
        <f t="shared" si="8"/>
        <v>0</v>
      </c>
      <c r="T61" s="11" cm="1">
        <f t="array" ref="T61">_xlfn.IFS(E61="north",4000,E61="south",4200,E61="east",3800,E61="west",3600)</f>
        <v>4200</v>
      </c>
      <c r="U61" s="11">
        <f t="shared" si="9"/>
        <v>6000</v>
      </c>
    </row>
    <row r="62" spans="1:21" ht="20.25" customHeight="1">
      <c r="A62" s="6">
        <v>60</v>
      </c>
      <c r="B62" s="6" t="s">
        <v>175</v>
      </c>
      <c r="C62" s="6" t="s">
        <v>176</v>
      </c>
      <c r="D62" s="6" t="s">
        <v>42</v>
      </c>
      <c r="E62" s="6" t="s">
        <v>38</v>
      </c>
      <c r="F62" s="6" t="s">
        <v>177</v>
      </c>
      <c r="G62" s="7">
        <v>32105</v>
      </c>
      <c r="H62" s="8">
        <v>19250</v>
      </c>
      <c r="I62" s="9">
        <f t="shared" si="10"/>
        <v>6737.5</v>
      </c>
      <c r="J62" s="9">
        <f t="shared" si="0"/>
        <v>5775</v>
      </c>
      <c r="K62" s="9">
        <f t="shared" si="1"/>
        <v>31762.5</v>
      </c>
      <c r="L62" s="9">
        <f t="shared" si="2"/>
        <v>19249.900000000001</v>
      </c>
      <c r="M62" s="9">
        <f t="shared" si="3"/>
        <v>2310</v>
      </c>
      <c r="N62" s="10">
        <f t="shared" si="4"/>
        <v>10202.599999999999</v>
      </c>
      <c r="O62" s="11">
        <f t="shared" si="5"/>
        <v>0</v>
      </c>
      <c r="P62" s="10"/>
      <c r="Q62" s="11">
        <f t="shared" si="6"/>
        <v>0</v>
      </c>
      <c r="R62" s="11">
        <f t="shared" si="7"/>
        <v>5000</v>
      </c>
      <c r="S62" s="11">
        <f t="shared" si="8"/>
        <v>0</v>
      </c>
      <c r="T62" s="11" cm="1">
        <f t="array" ref="T62">_xlfn.IFS(E62="north",4000,E62="south",4200,E62="east",3800,E62="west",3600)</f>
        <v>4200</v>
      </c>
      <c r="U62" s="11">
        <f t="shared" si="9"/>
        <v>6000</v>
      </c>
    </row>
    <row r="63" spans="1:21" ht="20.25" customHeight="1">
      <c r="A63" s="6">
        <v>61</v>
      </c>
      <c r="B63" s="6" t="s">
        <v>178</v>
      </c>
      <c r="C63" s="6" t="s">
        <v>179</v>
      </c>
      <c r="D63" s="6" t="s">
        <v>37</v>
      </c>
      <c r="E63" s="6" t="s">
        <v>29</v>
      </c>
      <c r="F63" s="6" t="s">
        <v>58</v>
      </c>
      <c r="G63" s="7">
        <v>32106</v>
      </c>
      <c r="H63" s="8">
        <v>19250</v>
      </c>
      <c r="I63" s="9">
        <f t="shared" si="10"/>
        <v>6737.5</v>
      </c>
      <c r="J63" s="9">
        <f t="shared" si="0"/>
        <v>5775</v>
      </c>
      <c r="K63" s="9">
        <f t="shared" si="1"/>
        <v>31762.5</v>
      </c>
      <c r="L63" s="9">
        <f t="shared" si="2"/>
        <v>19249.900000000001</v>
      </c>
      <c r="M63" s="9">
        <f t="shared" si="3"/>
        <v>2310</v>
      </c>
      <c r="N63" s="10">
        <f t="shared" si="4"/>
        <v>10202.599999999999</v>
      </c>
      <c r="O63" s="11">
        <f t="shared" si="5"/>
        <v>0</v>
      </c>
      <c r="P63" s="10"/>
      <c r="Q63" s="11">
        <f t="shared" si="6"/>
        <v>0</v>
      </c>
      <c r="R63" s="11">
        <f t="shared" si="7"/>
        <v>0</v>
      </c>
      <c r="S63" s="11">
        <f t="shared" si="8"/>
        <v>0</v>
      </c>
      <c r="T63" s="11" cm="1">
        <f t="array" ref="T63">_xlfn.IFS(E63="north",4000,E63="south",4200,E63="east",3800,E63="west",3600)</f>
        <v>4000</v>
      </c>
      <c r="U63" s="11">
        <f t="shared" si="9"/>
        <v>6000</v>
      </c>
    </row>
    <row r="64" spans="1:21" ht="20.25" customHeight="1">
      <c r="A64" s="6">
        <v>62</v>
      </c>
      <c r="B64" s="6" t="s">
        <v>180</v>
      </c>
      <c r="C64" s="6" t="s">
        <v>84</v>
      </c>
      <c r="D64" s="6" t="s">
        <v>28</v>
      </c>
      <c r="E64" s="6" t="s">
        <v>29</v>
      </c>
      <c r="F64" s="6" t="s">
        <v>47</v>
      </c>
      <c r="G64" s="7">
        <v>32107</v>
      </c>
      <c r="H64" s="8">
        <v>19250</v>
      </c>
      <c r="I64" s="9">
        <f t="shared" si="10"/>
        <v>6737.5</v>
      </c>
      <c r="J64" s="9">
        <f t="shared" si="0"/>
        <v>5775</v>
      </c>
      <c r="K64" s="9">
        <f t="shared" si="1"/>
        <v>31762.5</v>
      </c>
      <c r="L64" s="9">
        <f t="shared" si="2"/>
        <v>19249.900000000001</v>
      </c>
      <c r="M64" s="9">
        <f t="shared" si="3"/>
        <v>2310</v>
      </c>
      <c r="N64" s="10">
        <f t="shared" si="4"/>
        <v>10202.599999999999</v>
      </c>
      <c r="O64" s="11">
        <f t="shared" si="5"/>
        <v>0</v>
      </c>
      <c r="P64" s="10"/>
      <c r="Q64" s="11">
        <f t="shared" si="6"/>
        <v>0</v>
      </c>
      <c r="R64" s="11">
        <f t="shared" si="7"/>
        <v>5000</v>
      </c>
      <c r="S64" s="11">
        <f t="shared" si="8"/>
        <v>0</v>
      </c>
      <c r="T64" s="11" cm="1">
        <f t="array" ref="T64">_xlfn.IFS(E64="north",4000,E64="south",4200,E64="east",3800,E64="west",3600)</f>
        <v>4000</v>
      </c>
      <c r="U64" s="11">
        <f t="shared" si="9"/>
        <v>6000</v>
      </c>
    </row>
    <row r="65" spans="1:21" ht="20.25" customHeight="1">
      <c r="A65" s="6">
        <v>63</v>
      </c>
      <c r="B65" s="6" t="s">
        <v>181</v>
      </c>
      <c r="C65" s="6" t="s">
        <v>98</v>
      </c>
      <c r="D65" s="6" t="s">
        <v>46</v>
      </c>
      <c r="E65" s="6" t="s">
        <v>29</v>
      </c>
      <c r="F65" s="6" t="s">
        <v>70</v>
      </c>
      <c r="G65" s="7">
        <v>32440</v>
      </c>
      <c r="H65" s="8">
        <v>17500</v>
      </c>
      <c r="I65" s="9">
        <f t="shared" si="10"/>
        <v>6125</v>
      </c>
      <c r="J65" s="9">
        <f t="shared" si="0"/>
        <v>5250</v>
      </c>
      <c r="K65" s="9">
        <f t="shared" si="1"/>
        <v>28875</v>
      </c>
      <c r="L65" s="9">
        <f t="shared" si="2"/>
        <v>17499.900000000001</v>
      </c>
      <c r="M65" s="9">
        <f t="shared" si="3"/>
        <v>2100</v>
      </c>
      <c r="N65" s="10">
        <f t="shared" si="4"/>
        <v>9275.0999999999985</v>
      </c>
      <c r="O65" s="11">
        <f t="shared" si="5"/>
        <v>0</v>
      </c>
      <c r="P65" s="10"/>
      <c r="Q65" s="11">
        <f t="shared" si="6"/>
        <v>0</v>
      </c>
      <c r="R65" s="11">
        <f t="shared" si="7"/>
        <v>0</v>
      </c>
      <c r="S65" s="11">
        <f t="shared" si="8"/>
        <v>0</v>
      </c>
      <c r="T65" s="11" cm="1">
        <f t="array" ref="T65">_xlfn.IFS(E65="north",4000,E65="south",4200,E65="east",3800,E65="west",3600)</f>
        <v>4000</v>
      </c>
      <c r="U65" s="11">
        <f t="shared" si="9"/>
        <v>6000</v>
      </c>
    </row>
    <row r="66" spans="1:21" ht="20.25" customHeight="1">
      <c r="A66" s="6">
        <v>64</v>
      </c>
      <c r="B66" s="6" t="s">
        <v>182</v>
      </c>
      <c r="C66" s="6" t="s">
        <v>183</v>
      </c>
      <c r="D66" s="6" t="s">
        <v>53</v>
      </c>
      <c r="E66" s="6" t="s">
        <v>38</v>
      </c>
      <c r="F66" s="6" t="s">
        <v>39</v>
      </c>
      <c r="G66" s="7">
        <v>32441</v>
      </c>
      <c r="H66" s="8">
        <v>17500</v>
      </c>
      <c r="I66" s="9">
        <f t="shared" si="10"/>
        <v>6125</v>
      </c>
      <c r="J66" s="9">
        <f t="shared" si="0"/>
        <v>5250</v>
      </c>
      <c r="K66" s="9">
        <f t="shared" si="1"/>
        <v>28875</v>
      </c>
      <c r="L66" s="9">
        <f t="shared" si="2"/>
        <v>17499.900000000001</v>
      </c>
      <c r="M66" s="9">
        <f t="shared" si="3"/>
        <v>2100</v>
      </c>
      <c r="N66" s="10">
        <f t="shared" si="4"/>
        <v>9275.0999999999985</v>
      </c>
      <c r="O66" s="11">
        <f t="shared" si="5"/>
        <v>0</v>
      </c>
      <c r="P66" s="10"/>
      <c r="Q66" s="11">
        <f t="shared" si="6"/>
        <v>0</v>
      </c>
      <c r="R66" s="11">
        <f t="shared" si="7"/>
        <v>0</v>
      </c>
      <c r="S66" s="11">
        <f t="shared" si="8"/>
        <v>6000</v>
      </c>
      <c r="T66" s="11" cm="1">
        <f t="array" ref="T66">_xlfn.IFS(E66="north",4000,E66="south",4200,E66="east",3800,E66="west",3600)</f>
        <v>4200</v>
      </c>
      <c r="U66" s="11">
        <f t="shared" si="9"/>
        <v>6000</v>
      </c>
    </row>
    <row r="67" spans="1:21" ht="20.25" customHeight="1">
      <c r="A67" s="6">
        <v>65</v>
      </c>
      <c r="B67" s="6" t="s">
        <v>184</v>
      </c>
      <c r="C67" s="6" t="s">
        <v>75</v>
      </c>
      <c r="D67" s="6" t="s">
        <v>120</v>
      </c>
      <c r="E67" s="6" t="s">
        <v>33</v>
      </c>
      <c r="F67" s="6" t="s">
        <v>73</v>
      </c>
      <c r="G67" s="7">
        <v>32442</v>
      </c>
      <c r="H67" s="8">
        <v>17500</v>
      </c>
      <c r="I67" s="9">
        <f t="shared" si="10"/>
        <v>6125</v>
      </c>
      <c r="J67" s="9">
        <f t="shared" si="0"/>
        <v>5250</v>
      </c>
      <c r="K67" s="9">
        <f t="shared" si="1"/>
        <v>28875</v>
      </c>
      <c r="L67" s="9">
        <f t="shared" si="2"/>
        <v>17499.900000000001</v>
      </c>
      <c r="M67" s="9">
        <f t="shared" si="3"/>
        <v>2100</v>
      </c>
      <c r="N67" s="10">
        <f t="shared" si="4"/>
        <v>9275.0999999999985</v>
      </c>
      <c r="O67" s="11">
        <f t="shared" si="5"/>
        <v>0</v>
      </c>
      <c r="P67" s="10"/>
      <c r="Q67" s="11">
        <f t="shared" si="6"/>
        <v>0</v>
      </c>
      <c r="R67" s="11">
        <f t="shared" si="7"/>
        <v>0</v>
      </c>
      <c r="S67" s="11">
        <f t="shared" si="8"/>
        <v>6000</v>
      </c>
      <c r="T67" s="11" cm="1">
        <f t="array" ref="T67">_xlfn.IFS(E67="north",4000,E67="south",4200,E67="east",3800,E67="west",3600)</f>
        <v>3800</v>
      </c>
      <c r="U67" s="11">
        <f t="shared" si="9"/>
        <v>6000</v>
      </c>
    </row>
    <row r="68" spans="1:21" ht="20.25" customHeight="1">
      <c r="A68" s="6">
        <v>66</v>
      </c>
      <c r="B68" s="6" t="s">
        <v>185</v>
      </c>
      <c r="C68" s="6" t="s">
        <v>186</v>
      </c>
      <c r="D68" s="6" t="s">
        <v>53</v>
      </c>
      <c r="E68" s="6" t="s">
        <v>29</v>
      </c>
      <c r="F68" s="6" t="s">
        <v>58</v>
      </c>
      <c r="G68" s="7">
        <v>32443</v>
      </c>
      <c r="H68" s="8">
        <v>17500</v>
      </c>
      <c r="I68" s="9">
        <f t="shared" ref="I68:I102" si="11">H68*$I$1</f>
        <v>6125</v>
      </c>
      <c r="J68" s="9">
        <f t="shared" ref="J68:J102" si="12">H68*$J$1</f>
        <v>5250</v>
      </c>
      <c r="K68" s="9">
        <f t="shared" ref="K68:K102" si="13">SUM(H68:J68)</f>
        <v>28875</v>
      </c>
      <c r="L68" s="9">
        <f t="shared" ref="L68:L102" si="14">H68-$L$1</f>
        <v>17499.900000000001</v>
      </c>
      <c r="M68" s="9">
        <f t="shared" ref="M68:M102" si="15">H68*$M$1</f>
        <v>2100</v>
      </c>
      <c r="N68" s="10">
        <f t="shared" ref="N68:N102" si="16">K68-L68-M68</f>
        <v>9275.0999999999985</v>
      </c>
      <c r="O68" s="11">
        <f t="shared" ref="O68:O102" si="17">IF(H68&lt;=10000,3000,0)</f>
        <v>0</v>
      </c>
      <c r="P68" s="10"/>
      <c r="Q68" s="11">
        <f t="shared" ref="Q68:Q102" si="18">IF(AND(D68="Admin",H68&lt;=10000),H68*0.05,0)</f>
        <v>0</v>
      </c>
      <c r="R68" s="11">
        <f t="shared" ref="R68:R102" si="19">IF(OR(D68="Mktg",D68="Sales"),5000,0)</f>
        <v>0</v>
      </c>
      <c r="S68" s="11">
        <f t="shared" ref="S68:S102" si="20">IF(OR(AND(D68="CCD",H68&gt;=10000),AND(D68="personnel",H68&gt;=10000)),6000,0)</f>
        <v>6000</v>
      </c>
      <c r="T68" s="11" cm="1">
        <f t="array" ref="T68">_xlfn.IFS(E68="north",4000,E68="south",4200,E68="east",3800,E68="west",3600)</f>
        <v>4000</v>
      </c>
      <c r="U68" s="11">
        <f t="shared" ref="U68:U102" si="21">IF(NOT(D68="Director"),6000,0)</f>
        <v>6000</v>
      </c>
    </row>
    <row r="69" spans="1:21" ht="20.25" customHeight="1">
      <c r="A69" s="6">
        <v>67</v>
      </c>
      <c r="B69" s="6" t="s">
        <v>187</v>
      </c>
      <c r="C69" s="6" t="s">
        <v>188</v>
      </c>
      <c r="D69" s="6" t="s">
        <v>53</v>
      </c>
      <c r="E69" s="6" t="s">
        <v>29</v>
      </c>
      <c r="F69" s="6" t="s">
        <v>125</v>
      </c>
      <c r="G69" s="7">
        <v>32444</v>
      </c>
      <c r="H69" s="8">
        <v>20125</v>
      </c>
      <c r="I69" s="9">
        <f t="shared" si="11"/>
        <v>7043.75</v>
      </c>
      <c r="J69" s="9">
        <f t="shared" si="12"/>
        <v>6037.5</v>
      </c>
      <c r="K69" s="9">
        <f t="shared" si="13"/>
        <v>33206.25</v>
      </c>
      <c r="L69" s="9">
        <f t="shared" si="14"/>
        <v>20124.900000000001</v>
      </c>
      <c r="M69" s="9">
        <f t="shared" si="15"/>
        <v>2415</v>
      </c>
      <c r="N69" s="10">
        <f t="shared" si="16"/>
        <v>10666.349999999999</v>
      </c>
      <c r="O69" s="11">
        <f t="shared" si="17"/>
        <v>0</v>
      </c>
      <c r="P69" s="10"/>
      <c r="Q69" s="11">
        <f t="shared" si="18"/>
        <v>0</v>
      </c>
      <c r="R69" s="11">
        <f t="shared" si="19"/>
        <v>0</v>
      </c>
      <c r="S69" s="11">
        <f t="shared" si="20"/>
        <v>6000</v>
      </c>
      <c r="T69" s="11" cm="1">
        <f t="array" ref="T69">_xlfn.IFS(E69="north",4000,E69="south",4200,E69="east",3800,E69="west",3600)</f>
        <v>4000</v>
      </c>
      <c r="U69" s="11">
        <f t="shared" si="21"/>
        <v>6000</v>
      </c>
    </row>
    <row r="70" spans="1:21" ht="20.25" customHeight="1">
      <c r="A70" s="6">
        <v>68</v>
      </c>
      <c r="B70" s="6" t="s">
        <v>189</v>
      </c>
      <c r="C70" s="6" t="s">
        <v>75</v>
      </c>
      <c r="D70" s="6" t="s">
        <v>28</v>
      </c>
      <c r="E70" s="6" t="s">
        <v>29</v>
      </c>
      <c r="F70" s="6" t="s">
        <v>135</v>
      </c>
      <c r="G70" s="7">
        <v>35034</v>
      </c>
      <c r="H70" s="8">
        <v>14000</v>
      </c>
      <c r="I70" s="9">
        <f t="shared" si="11"/>
        <v>4900</v>
      </c>
      <c r="J70" s="9">
        <f t="shared" si="12"/>
        <v>4200</v>
      </c>
      <c r="K70" s="9">
        <f t="shared" si="13"/>
        <v>23100</v>
      </c>
      <c r="L70" s="9">
        <f t="shared" si="14"/>
        <v>13999.9</v>
      </c>
      <c r="M70" s="9">
        <f t="shared" si="15"/>
        <v>1680</v>
      </c>
      <c r="N70" s="10">
        <f t="shared" si="16"/>
        <v>7420.1</v>
      </c>
      <c r="O70" s="11">
        <f t="shared" si="17"/>
        <v>0</v>
      </c>
      <c r="P70" s="10"/>
      <c r="Q70" s="11">
        <f t="shared" si="18"/>
        <v>0</v>
      </c>
      <c r="R70" s="11">
        <f t="shared" si="19"/>
        <v>5000</v>
      </c>
      <c r="S70" s="11">
        <f t="shared" si="20"/>
        <v>0</v>
      </c>
      <c r="T70" s="11" cm="1">
        <f t="array" ref="T70">_xlfn.IFS(E70="north",4000,E70="south",4200,E70="east",3800,E70="west",3600)</f>
        <v>4000</v>
      </c>
      <c r="U70" s="11">
        <f t="shared" si="21"/>
        <v>6000</v>
      </c>
    </row>
    <row r="71" spans="1:21" ht="20.25" customHeight="1">
      <c r="A71" s="6">
        <v>69</v>
      </c>
      <c r="B71" s="6" t="s">
        <v>190</v>
      </c>
      <c r="C71" s="6" t="s">
        <v>119</v>
      </c>
      <c r="D71" s="6" t="s">
        <v>53</v>
      </c>
      <c r="E71" s="6" t="s">
        <v>29</v>
      </c>
      <c r="F71" s="6" t="s">
        <v>135</v>
      </c>
      <c r="G71" s="7">
        <v>34761</v>
      </c>
      <c r="H71" s="8">
        <v>14000</v>
      </c>
      <c r="I71" s="9">
        <f t="shared" si="11"/>
        <v>4900</v>
      </c>
      <c r="J71" s="9">
        <f t="shared" si="12"/>
        <v>4200</v>
      </c>
      <c r="K71" s="9">
        <f t="shared" si="13"/>
        <v>23100</v>
      </c>
      <c r="L71" s="9">
        <f t="shared" si="14"/>
        <v>13999.9</v>
      </c>
      <c r="M71" s="9">
        <f t="shared" si="15"/>
        <v>1680</v>
      </c>
      <c r="N71" s="10">
        <f t="shared" si="16"/>
        <v>7420.1</v>
      </c>
      <c r="O71" s="11">
        <f t="shared" si="17"/>
        <v>0</v>
      </c>
      <c r="P71" s="10"/>
      <c r="Q71" s="11">
        <f t="shared" si="18"/>
        <v>0</v>
      </c>
      <c r="R71" s="11">
        <f t="shared" si="19"/>
        <v>0</v>
      </c>
      <c r="S71" s="11">
        <f t="shared" si="20"/>
        <v>6000</v>
      </c>
      <c r="T71" s="11" cm="1">
        <f t="array" ref="T71">_xlfn.IFS(E71="north",4000,E71="south",4200,E71="east",3800,E71="west",3600)</f>
        <v>4000</v>
      </c>
      <c r="U71" s="11">
        <f t="shared" si="21"/>
        <v>6000</v>
      </c>
    </row>
    <row r="72" spans="1:21" ht="20.25" customHeight="1">
      <c r="A72" s="6">
        <v>70</v>
      </c>
      <c r="B72" s="6" t="s">
        <v>191</v>
      </c>
      <c r="C72" s="6" t="s">
        <v>188</v>
      </c>
      <c r="D72" s="6" t="s">
        <v>42</v>
      </c>
      <c r="E72" s="6" t="s">
        <v>33</v>
      </c>
      <c r="F72" s="6" t="s">
        <v>73</v>
      </c>
      <c r="G72" s="7">
        <v>34762</v>
      </c>
      <c r="H72" s="8">
        <v>14000</v>
      </c>
      <c r="I72" s="9">
        <f t="shared" si="11"/>
        <v>4900</v>
      </c>
      <c r="J72" s="9">
        <f t="shared" si="12"/>
        <v>4200</v>
      </c>
      <c r="K72" s="9">
        <f t="shared" si="13"/>
        <v>23100</v>
      </c>
      <c r="L72" s="9">
        <f t="shared" si="14"/>
        <v>13999.9</v>
      </c>
      <c r="M72" s="9">
        <f t="shared" si="15"/>
        <v>1680</v>
      </c>
      <c r="N72" s="10">
        <f t="shared" si="16"/>
        <v>7420.1</v>
      </c>
      <c r="O72" s="11">
        <f t="shared" si="17"/>
        <v>0</v>
      </c>
      <c r="P72" s="10"/>
      <c r="Q72" s="11">
        <f t="shared" si="18"/>
        <v>0</v>
      </c>
      <c r="R72" s="11">
        <f t="shared" si="19"/>
        <v>5000</v>
      </c>
      <c r="S72" s="11">
        <f t="shared" si="20"/>
        <v>0</v>
      </c>
      <c r="T72" s="11" cm="1">
        <f t="array" ref="T72">_xlfn.IFS(E72="north",4000,E72="south",4200,E72="east",3800,E72="west",3600)</f>
        <v>3800</v>
      </c>
      <c r="U72" s="11">
        <f t="shared" si="21"/>
        <v>6000</v>
      </c>
    </row>
    <row r="73" spans="1:21" ht="20.25" customHeight="1">
      <c r="A73" s="6">
        <v>71</v>
      </c>
      <c r="B73" s="6" t="s">
        <v>192</v>
      </c>
      <c r="C73" s="6" t="s">
        <v>193</v>
      </c>
      <c r="D73" s="6" t="s">
        <v>46</v>
      </c>
      <c r="E73" s="6" t="s">
        <v>54</v>
      </c>
      <c r="F73" s="6" t="s">
        <v>194</v>
      </c>
      <c r="G73" s="7">
        <v>34763</v>
      </c>
      <c r="H73" s="8">
        <v>14000</v>
      </c>
      <c r="I73" s="9">
        <f t="shared" si="11"/>
        <v>4900</v>
      </c>
      <c r="J73" s="9">
        <f t="shared" si="12"/>
        <v>4200</v>
      </c>
      <c r="K73" s="9">
        <f t="shared" si="13"/>
        <v>23100</v>
      </c>
      <c r="L73" s="9">
        <f t="shared" si="14"/>
        <v>13999.9</v>
      </c>
      <c r="M73" s="9">
        <f t="shared" si="15"/>
        <v>1680</v>
      </c>
      <c r="N73" s="10">
        <f t="shared" si="16"/>
        <v>7420.1</v>
      </c>
      <c r="O73" s="11">
        <f t="shared" si="17"/>
        <v>0</v>
      </c>
      <c r="P73" s="10"/>
      <c r="Q73" s="11">
        <f t="shared" si="18"/>
        <v>0</v>
      </c>
      <c r="R73" s="11">
        <f t="shared" si="19"/>
        <v>0</v>
      </c>
      <c r="S73" s="11">
        <f t="shared" si="20"/>
        <v>0</v>
      </c>
      <c r="T73" s="11" cm="1">
        <f t="array" ref="T73">_xlfn.IFS(E73="north",4000,E73="south",4200,E73="east",3800,E73="west",3600)</f>
        <v>3600</v>
      </c>
      <c r="U73" s="11">
        <f t="shared" si="21"/>
        <v>6000</v>
      </c>
    </row>
    <row r="74" spans="1:21" ht="20.25" customHeight="1">
      <c r="A74" s="6">
        <v>72</v>
      </c>
      <c r="B74" s="6" t="s">
        <v>195</v>
      </c>
      <c r="C74" s="6" t="s">
        <v>117</v>
      </c>
      <c r="D74" s="6" t="s">
        <v>46</v>
      </c>
      <c r="E74" s="6" t="s">
        <v>38</v>
      </c>
      <c r="F74" s="6" t="s">
        <v>130</v>
      </c>
      <c r="G74" s="7">
        <v>32438</v>
      </c>
      <c r="H74" s="8">
        <v>17500</v>
      </c>
      <c r="I74" s="9">
        <f t="shared" si="11"/>
        <v>6125</v>
      </c>
      <c r="J74" s="9">
        <f t="shared" si="12"/>
        <v>5250</v>
      </c>
      <c r="K74" s="9">
        <f t="shared" si="13"/>
        <v>28875</v>
      </c>
      <c r="L74" s="9">
        <f t="shared" si="14"/>
        <v>17499.900000000001</v>
      </c>
      <c r="M74" s="9">
        <f t="shared" si="15"/>
        <v>2100</v>
      </c>
      <c r="N74" s="10">
        <f t="shared" si="16"/>
        <v>9275.0999999999985</v>
      </c>
      <c r="O74" s="11">
        <f t="shared" si="17"/>
        <v>0</v>
      </c>
      <c r="P74" s="10"/>
      <c r="Q74" s="11">
        <f t="shared" si="18"/>
        <v>0</v>
      </c>
      <c r="R74" s="11">
        <f t="shared" si="19"/>
        <v>0</v>
      </c>
      <c r="S74" s="11">
        <f t="shared" si="20"/>
        <v>0</v>
      </c>
      <c r="T74" s="11" cm="1">
        <f t="array" ref="T74">_xlfn.IFS(E74="north",4000,E74="south",4200,E74="east",3800,E74="west",3600)</f>
        <v>4200</v>
      </c>
      <c r="U74" s="11">
        <f t="shared" si="21"/>
        <v>6000</v>
      </c>
    </row>
    <row r="75" spans="1:21" ht="20.25" customHeight="1">
      <c r="A75" s="6">
        <v>73</v>
      </c>
      <c r="B75" s="6" t="s">
        <v>196</v>
      </c>
      <c r="C75" s="6" t="s">
        <v>197</v>
      </c>
      <c r="D75" s="6" t="s">
        <v>120</v>
      </c>
      <c r="E75" s="6" t="s">
        <v>29</v>
      </c>
      <c r="F75" s="6" t="s">
        <v>82</v>
      </c>
      <c r="G75" s="7">
        <v>32439</v>
      </c>
      <c r="H75" s="8">
        <v>17500</v>
      </c>
      <c r="I75" s="9">
        <f t="shared" si="11"/>
        <v>6125</v>
      </c>
      <c r="J75" s="9">
        <f t="shared" si="12"/>
        <v>5250</v>
      </c>
      <c r="K75" s="9">
        <f t="shared" si="13"/>
        <v>28875</v>
      </c>
      <c r="L75" s="9">
        <f t="shared" si="14"/>
        <v>17499.900000000001</v>
      </c>
      <c r="M75" s="9">
        <f t="shared" si="15"/>
        <v>2100</v>
      </c>
      <c r="N75" s="10">
        <f t="shared" si="16"/>
        <v>9275.0999999999985</v>
      </c>
      <c r="O75" s="11">
        <f t="shared" si="17"/>
        <v>0</v>
      </c>
      <c r="P75" s="10"/>
      <c r="Q75" s="11">
        <f t="shared" si="18"/>
        <v>0</v>
      </c>
      <c r="R75" s="11">
        <f t="shared" si="19"/>
        <v>0</v>
      </c>
      <c r="S75" s="11">
        <f t="shared" si="20"/>
        <v>6000</v>
      </c>
      <c r="T75" s="11" cm="1">
        <f t="array" ref="T75">_xlfn.IFS(E75="north",4000,E75="south",4200,E75="east",3800,E75="west",3600)</f>
        <v>4000</v>
      </c>
      <c r="U75" s="11">
        <f t="shared" si="21"/>
        <v>6000</v>
      </c>
    </row>
    <row r="76" spans="1:21" ht="20.25" customHeight="1">
      <c r="A76" s="6">
        <v>74</v>
      </c>
      <c r="B76" s="6" t="s">
        <v>198</v>
      </c>
      <c r="C76" s="6" t="s">
        <v>199</v>
      </c>
      <c r="D76" s="6" t="s">
        <v>28</v>
      </c>
      <c r="E76" s="6" t="s">
        <v>33</v>
      </c>
      <c r="F76" s="6" t="s">
        <v>64</v>
      </c>
      <c r="G76" s="7">
        <v>32440</v>
      </c>
      <c r="H76" s="8">
        <v>17500</v>
      </c>
      <c r="I76" s="9">
        <f t="shared" si="11"/>
        <v>6125</v>
      </c>
      <c r="J76" s="9">
        <f t="shared" si="12"/>
        <v>5250</v>
      </c>
      <c r="K76" s="9">
        <f t="shared" si="13"/>
        <v>28875</v>
      </c>
      <c r="L76" s="9">
        <f t="shared" si="14"/>
        <v>17499.900000000001</v>
      </c>
      <c r="M76" s="9">
        <f t="shared" si="15"/>
        <v>2100</v>
      </c>
      <c r="N76" s="10">
        <f t="shared" si="16"/>
        <v>9275.0999999999985</v>
      </c>
      <c r="O76" s="11">
        <f t="shared" si="17"/>
        <v>0</v>
      </c>
      <c r="P76" s="10"/>
      <c r="Q76" s="11">
        <f t="shared" si="18"/>
        <v>0</v>
      </c>
      <c r="R76" s="11">
        <f t="shared" si="19"/>
        <v>5000</v>
      </c>
      <c r="S76" s="11">
        <f t="shared" si="20"/>
        <v>0</v>
      </c>
      <c r="T76" s="11" cm="1">
        <f t="array" ref="T76">_xlfn.IFS(E76="north",4000,E76="south",4200,E76="east",3800,E76="west",3600)</f>
        <v>3800</v>
      </c>
      <c r="U76" s="11">
        <f t="shared" si="21"/>
        <v>6000</v>
      </c>
    </row>
    <row r="77" spans="1:21" ht="20.25" customHeight="1">
      <c r="A77" s="6">
        <v>75</v>
      </c>
      <c r="B77" s="6" t="s">
        <v>200</v>
      </c>
      <c r="C77" s="6" t="s">
        <v>201</v>
      </c>
      <c r="D77" s="6" t="s">
        <v>37</v>
      </c>
      <c r="E77" s="6" t="s">
        <v>33</v>
      </c>
      <c r="F77" s="6" t="s">
        <v>73</v>
      </c>
      <c r="G77" s="7">
        <v>32441</v>
      </c>
      <c r="H77" s="8">
        <v>17500</v>
      </c>
      <c r="I77" s="9">
        <f t="shared" si="11"/>
        <v>6125</v>
      </c>
      <c r="J77" s="9">
        <f t="shared" si="12"/>
        <v>5250</v>
      </c>
      <c r="K77" s="9">
        <f t="shared" si="13"/>
        <v>28875</v>
      </c>
      <c r="L77" s="9">
        <f t="shared" si="14"/>
        <v>17499.900000000001</v>
      </c>
      <c r="M77" s="9">
        <f t="shared" si="15"/>
        <v>2100</v>
      </c>
      <c r="N77" s="10">
        <f t="shared" si="16"/>
        <v>9275.0999999999985</v>
      </c>
      <c r="O77" s="11">
        <f t="shared" si="17"/>
        <v>0</v>
      </c>
      <c r="P77" s="10"/>
      <c r="Q77" s="11">
        <f t="shared" si="18"/>
        <v>0</v>
      </c>
      <c r="R77" s="11">
        <f t="shared" si="19"/>
        <v>0</v>
      </c>
      <c r="S77" s="11">
        <f t="shared" si="20"/>
        <v>0</v>
      </c>
      <c r="T77" s="11" cm="1">
        <f t="array" ref="T77">_xlfn.IFS(E77="north",4000,E77="south",4200,E77="east",3800,E77="west",3600)</f>
        <v>3800</v>
      </c>
      <c r="U77" s="11">
        <f t="shared" si="21"/>
        <v>6000</v>
      </c>
    </row>
    <row r="78" spans="1:21" ht="20.25" customHeight="1">
      <c r="A78" s="6">
        <v>76</v>
      </c>
      <c r="B78" s="6" t="s">
        <v>202</v>
      </c>
      <c r="C78" s="6" t="s">
        <v>144</v>
      </c>
      <c r="D78" s="6" t="s">
        <v>120</v>
      </c>
      <c r="E78" s="6" t="s">
        <v>54</v>
      </c>
      <c r="F78" s="6" t="s">
        <v>194</v>
      </c>
      <c r="G78" s="7">
        <v>32442</v>
      </c>
      <c r="H78" s="8">
        <v>17500</v>
      </c>
      <c r="I78" s="9">
        <f t="shared" si="11"/>
        <v>6125</v>
      </c>
      <c r="J78" s="9">
        <f t="shared" si="12"/>
        <v>5250</v>
      </c>
      <c r="K78" s="9">
        <f t="shared" si="13"/>
        <v>28875</v>
      </c>
      <c r="L78" s="9">
        <f t="shared" si="14"/>
        <v>17499.900000000001</v>
      </c>
      <c r="M78" s="9">
        <f t="shared" si="15"/>
        <v>2100</v>
      </c>
      <c r="N78" s="10">
        <f t="shared" si="16"/>
        <v>9275.0999999999985</v>
      </c>
      <c r="O78" s="11">
        <f t="shared" si="17"/>
        <v>0</v>
      </c>
      <c r="P78" s="10"/>
      <c r="Q78" s="11">
        <f t="shared" si="18"/>
        <v>0</v>
      </c>
      <c r="R78" s="11">
        <f t="shared" si="19"/>
        <v>0</v>
      </c>
      <c r="S78" s="11">
        <f t="shared" si="20"/>
        <v>6000</v>
      </c>
      <c r="T78" s="11" cm="1">
        <f t="array" ref="T78">_xlfn.IFS(E78="north",4000,E78="south",4200,E78="east",3800,E78="west",3600)</f>
        <v>3600</v>
      </c>
      <c r="U78" s="11">
        <f t="shared" si="21"/>
        <v>6000</v>
      </c>
    </row>
    <row r="79" spans="1:21" ht="20.25" customHeight="1">
      <c r="A79" s="6">
        <v>77</v>
      </c>
      <c r="B79" s="6" t="s">
        <v>203</v>
      </c>
      <c r="C79" s="6" t="s">
        <v>186</v>
      </c>
      <c r="D79" s="6" t="s">
        <v>46</v>
      </c>
      <c r="E79" s="6" t="s">
        <v>29</v>
      </c>
      <c r="F79" s="6" t="s">
        <v>43</v>
      </c>
      <c r="G79" s="7">
        <v>32443</v>
      </c>
      <c r="H79" s="8">
        <v>17500</v>
      </c>
      <c r="I79" s="9">
        <f t="shared" si="11"/>
        <v>6125</v>
      </c>
      <c r="J79" s="9">
        <f t="shared" si="12"/>
        <v>5250</v>
      </c>
      <c r="K79" s="9">
        <f t="shared" si="13"/>
        <v>28875</v>
      </c>
      <c r="L79" s="9">
        <f t="shared" si="14"/>
        <v>17499.900000000001</v>
      </c>
      <c r="M79" s="9">
        <f t="shared" si="15"/>
        <v>2100</v>
      </c>
      <c r="N79" s="10">
        <f t="shared" si="16"/>
        <v>9275.0999999999985</v>
      </c>
      <c r="O79" s="11">
        <f t="shared" si="17"/>
        <v>0</v>
      </c>
      <c r="P79" s="10"/>
      <c r="Q79" s="11">
        <f t="shared" si="18"/>
        <v>0</v>
      </c>
      <c r="R79" s="11">
        <f t="shared" si="19"/>
        <v>0</v>
      </c>
      <c r="S79" s="11">
        <f t="shared" si="20"/>
        <v>0</v>
      </c>
      <c r="T79" s="11" cm="1">
        <f t="array" ref="T79">_xlfn.IFS(E79="north",4000,E79="south",4200,E79="east",3800,E79="west",3600)</f>
        <v>4000</v>
      </c>
      <c r="U79" s="11">
        <f t="shared" si="21"/>
        <v>6000</v>
      </c>
    </row>
    <row r="80" spans="1:21" ht="20.25" customHeight="1">
      <c r="A80" s="6">
        <v>78</v>
      </c>
      <c r="B80" s="6" t="s">
        <v>204</v>
      </c>
      <c r="C80" s="6" t="s">
        <v>205</v>
      </c>
      <c r="D80" s="6" t="s">
        <v>28</v>
      </c>
      <c r="E80" s="6" t="s">
        <v>54</v>
      </c>
      <c r="F80" s="6" t="s">
        <v>111</v>
      </c>
      <c r="G80" s="7">
        <v>32444</v>
      </c>
      <c r="H80" s="8">
        <v>17500</v>
      </c>
      <c r="I80" s="9">
        <f t="shared" si="11"/>
        <v>6125</v>
      </c>
      <c r="J80" s="9">
        <f t="shared" si="12"/>
        <v>5250</v>
      </c>
      <c r="K80" s="9">
        <f t="shared" si="13"/>
        <v>28875</v>
      </c>
      <c r="L80" s="9">
        <f t="shared" si="14"/>
        <v>17499.900000000001</v>
      </c>
      <c r="M80" s="9">
        <f t="shared" si="15"/>
        <v>2100</v>
      </c>
      <c r="N80" s="10">
        <f t="shared" si="16"/>
        <v>9275.0999999999985</v>
      </c>
      <c r="O80" s="11">
        <f t="shared" si="17"/>
        <v>0</v>
      </c>
      <c r="P80" s="10"/>
      <c r="Q80" s="11">
        <f t="shared" si="18"/>
        <v>0</v>
      </c>
      <c r="R80" s="11">
        <f t="shared" si="19"/>
        <v>5000</v>
      </c>
      <c r="S80" s="11">
        <f t="shared" si="20"/>
        <v>0</v>
      </c>
      <c r="T80" s="11" cm="1">
        <f t="array" ref="T80">_xlfn.IFS(E80="north",4000,E80="south",4200,E80="east",3800,E80="west",3600)</f>
        <v>3600</v>
      </c>
      <c r="U80" s="11">
        <f t="shared" si="21"/>
        <v>6000</v>
      </c>
    </row>
    <row r="81" spans="1:21" ht="20.25" customHeight="1">
      <c r="A81" s="6">
        <v>79</v>
      </c>
      <c r="B81" s="6" t="s">
        <v>206</v>
      </c>
      <c r="C81" s="6" t="s">
        <v>207</v>
      </c>
      <c r="D81" s="6" t="s">
        <v>42</v>
      </c>
      <c r="E81" s="6" t="s">
        <v>29</v>
      </c>
      <c r="F81" s="6" t="s">
        <v>43</v>
      </c>
      <c r="G81" s="7">
        <v>32445</v>
      </c>
      <c r="H81" s="8">
        <v>17500</v>
      </c>
      <c r="I81" s="9">
        <f t="shared" si="11"/>
        <v>6125</v>
      </c>
      <c r="J81" s="9">
        <f t="shared" si="12"/>
        <v>5250</v>
      </c>
      <c r="K81" s="9">
        <f t="shared" si="13"/>
        <v>28875</v>
      </c>
      <c r="L81" s="9">
        <f t="shared" si="14"/>
        <v>17499.900000000001</v>
      </c>
      <c r="M81" s="9">
        <f t="shared" si="15"/>
        <v>2100</v>
      </c>
      <c r="N81" s="10">
        <f t="shared" si="16"/>
        <v>9275.0999999999985</v>
      </c>
      <c r="O81" s="11">
        <f t="shared" si="17"/>
        <v>0</v>
      </c>
      <c r="P81" s="10"/>
      <c r="Q81" s="11">
        <f t="shared" si="18"/>
        <v>0</v>
      </c>
      <c r="R81" s="11">
        <f t="shared" si="19"/>
        <v>5000</v>
      </c>
      <c r="S81" s="11">
        <f t="shared" si="20"/>
        <v>0</v>
      </c>
      <c r="T81" s="11" cm="1">
        <f t="array" ref="T81">_xlfn.IFS(E81="north",4000,E81="south",4200,E81="east",3800,E81="west",3600)</f>
        <v>4000</v>
      </c>
      <c r="U81" s="11">
        <f t="shared" si="21"/>
        <v>6000</v>
      </c>
    </row>
    <row r="82" spans="1:21" ht="20.25" customHeight="1">
      <c r="A82" s="6">
        <v>80</v>
      </c>
      <c r="B82" s="6" t="s">
        <v>208</v>
      </c>
      <c r="C82" s="6" t="s">
        <v>209</v>
      </c>
      <c r="D82" s="6" t="s">
        <v>42</v>
      </c>
      <c r="E82" s="6" t="s">
        <v>29</v>
      </c>
      <c r="F82" s="6" t="s">
        <v>30</v>
      </c>
      <c r="G82" s="7">
        <v>32446</v>
      </c>
      <c r="H82" s="8">
        <v>17500</v>
      </c>
      <c r="I82" s="9">
        <f t="shared" si="11"/>
        <v>6125</v>
      </c>
      <c r="J82" s="9">
        <f t="shared" si="12"/>
        <v>5250</v>
      </c>
      <c r="K82" s="9">
        <f t="shared" si="13"/>
        <v>28875</v>
      </c>
      <c r="L82" s="9">
        <f t="shared" si="14"/>
        <v>17499.900000000001</v>
      </c>
      <c r="M82" s="9">
        <f t="shared" si="15"/>
        <v>2100</v>
      </c>
      <c r="N82" s="10">
        <f t="shared" si="16"/>
        <v>9275.0999999999985</v>
      </c>
      <c r="O82" s="11">
        <f t="shared" si="17"/>
        <v>0</v>
      </c>
      <c r="P82" s="10"/>
      <c r="Q82" s="11">
        <f t="shared" si="18"/>
        <v>0</v>
      </c>
      <c r="R82" s="11">
        <f t="shared" si="19"/>
        <v>5000</v>
      </c>
      <c r="S82" s="11">
        <f t="shared" si="20"/>
        <v>0</v>
      </c>
      <c r="T82" s="11" cm="1">
        <f t="array" ref="T82">_xlfn.IFS(E82="north",4000,E82="south",4200,E82="east",3800,E82="west",3600)</f>
        <v>4000</v>
      </c>
      <c r="U82" s="11">
        <f t="shared" si="21"/>
        <v>6000</v>
      </c>
    </row>
    <row r="83" spans="1:21" ht="20.25" customHeight="1">
      <c r="A83" s="6">
        <v>81</v>
      </c>
      <c r="B83" s="6" t="s">
        <v>210</v>
      </c>
      <c r="C83" s="6" t="s">
        <v>211</v>
      </c>
      <c r="D83" s="6" t="s">
        <v>120</v>
      </c>
      <c r="E83" s="6" t="s">
        <v>38</v>
      </c>
      <c r="F83" s="6" t="s">
        <v>171</v>
      </c>
      <c r="G83" s="7">
        <v>32447</v>
      </c>
      <c r="H83" s="8">
        <v>17500</v>
      </c>
      <c r="I83" s="9">
        <f t="shared" si="11"/>
        <v>6125</v>
      </c>
      <c r="J83" s="9">
        <f t="shared" si="12"/>
        <v>5250</v>
      </c>
      <c r="K83" s="9">
        <f t="shared" si="13"/>
        <v>28875</v>
      </c>
      <c r="L83" s="9">
        <f t="shared" si="14"/>
        <v>17499.900000000001</v>
      </c>
      <c r="M83" s="9">
        <f t="shared" si="15"/>
        <v>2100</v>
      </c>
      <c r="N83" s="10">
        <f t="shared" si="16"/>
        <v>9275.0999999999985</v>
      </c>
      <c r="O83" s="11">
        <f t="shared" si="17"/>
        <v>0</v>
      </c>
      <c r="P83" s="10"/>
      <c r="Q83" s="11">
        <f t="shared" si="18"/>
        <v>0</v>
      </c>
      <c r="R83" s="11">
        <f t="shared" si="19"/>
        <v>0</v>
      </c>
      <c r="S83" s="11">
        <f t="shared" si="20"/>
        <v>6000</v>
      </c>
      <c r="T83" s="11" cm="1">
        <f t="array" ref="T83">_xlfn.IFS(E83="north",4000,E83="south",4200,E83="east",3800,E83="west",3600)</f>
        <v>4200</v>
      </c>
      <c r="U83" s="11">
        <f t="shared" si="21"/>
        <v>6000</v>
      </c>
    </row>
    <row r="84" spans="1:21" ht="20.25" customHeight="1">
      <c r="A84" s="6">
        <v>82</v>
      </c>
      <c r="B84" s="6" t="s">
        <v>212</v>
      </c>
      <c r="C84" s="6" t="s">
        <v>213</v>
      </c>
      <c r="D84" s="6" t="s">
        <v>46</v>
      </c>
      <c r="E84" s="6" t="s">
        <v>33</v>
      </c>
      <c r="F84" s="6" t="s">
        <v>34</v>
      </c>
      <c r="G84" s="7">
        <v>32448</v>
      </c>
      <c r="H84" s="8">
        <v>17500</v>
      </c>
      <c r="I84" s="9">
        <f t="shared" si="11"/>
        <v>6125</v>
      </c>
      <c r="J84" s="9">
        <f t="shared" si="12"/>
        <v>5250</v>
      </c>
      <c r="K84" s="9">
        <f t="shared" si="13"/>
        <v>28875</v>
      </c>
      <c r="L84" s="9">
        <f t="shared" si="14"/>
        <v>17499.900000000001</v>
      </c>
      <c r="M84" s="9">
        <f t="shared" si="15"/>
        <v>2100</v>
      </c>
      <c r="N84" s="10">
        <f t="shared" si="16"/>
        <v>9275.0999999999985</v>
      </c>
      <c r="O84" s="11">
        <f t="shared" si="17"/>
        <v>0</v>
      </c>
      <c r="P84" s="10"/>
      <c r="Q84" s="11">
        <f t="shared" si="18"/>
        <v>0</v>
      </c>
      <c r="R84" s="11">
        <f t="shared" si="19"/>
        <v>0</v>
      </c>
      <c r="S84" s="11">
        <f t="shared" si="20"/>
        <v>0</v>
      </c>
      <c r="T84" s="11" cm="1">
        <f t="array" ref="T84">_xlfn.IFS(E84="north",4000,E84="south",4200,E84="east",3800,E84="west",3600)</f>
        <v>3800</v>
      </c>
      <c r="U84" s="11">
        <f t="shared" si="21"/>
        <v>6000</v>
      </c>
    </row>
    <row r="85" spans="1:21" ht="20.25" customHeight="1">
      <c r="A85" s="6">
        <v>83</v>
      </c>
      <c r="B85" s="6" t="s">
        <v>214</v>
      </c>
      <c r="C85" s="6" t="s">
        <v>186</v>
      </c>
      <c r="D85" s="6" t="s">
        <v>120</v>
      </c>
      <c r="E85" s="6" t="s">
        <v>29</v>
      </c>
      <c r="F85" s="6" t="s">
        <v>133</v>
      </c>
      <c r="G85" s="7">
        <v>36221</v>
      </c>
      <c r="H85" s="8">
        <v>7000</v>
      </c>
      <c r="I85" s="9">
        <f t="shared" si="11"/>
        <v>2450</v>
      </c>
      <c r="J85" s="9">
        <f t="shared" si="12"/>
        <v>2100</v>
      </c>
      <c r="K85" s="9">
        <f t="shared" si="13"/>
        <v>11550</v>
      </c>
      <c r="L85" s="9">
        <f t="shared" si="14"/>
        <v>6999.9</v>
      </c>
      <c r="M85" s="9">
        <f t="shared" si="15"/>
        <v>840</v>
      </c>
      <c r="N85" s="10">
        <f t="shared" si="16"/>
        <v>3710.1000000000004</v>
      </c>
      <c r="O85" s="11">
        <f t="shared" si="17"/>
        <v>3000</v>
      </c>
      <c r="P85" s="10"/>
      <c r="Q85" s="11">
        <f t="shared" si="18"/>
        <v>0</v>
      </c>
      <c r="R85" s="11">
        <f t="shared" si="19"/>
        <v>0</v>
      </c>
      <c r="S85" s="11">
        <f t="shared" si="20"/>
        <v>0</v>
      </c>
      <c r="T85" s="11" cm="1">
        <f t="array" ref="T85">_xlfn.IFS(E85="north",4000,E85="south",4200,E85="east",3800,E85="west",3600)</f>
        <v>4000</v>
      </c>
      <c r="U85" s="11">
        <f t="shared" si="21"/>
        <v>6000</v>
      </c>
    </row>
    <row r="86" spans="1:21" ht="20.25" customHeight="1">
      <c r="A86" s="6">
        <v>84</v>
      </c>
      <c r="B86" s="6" t="s">
        <v>215</v>
      </c>
      <c r="C86" s="6" t="s">
        <v>216</v>
      </c>
      <c r="D86" s="6" t="s">
        <v>46</v>
      </c>
      <c r="E86" s="6" t="s">
        <v>33</v>
      </c>
      <c r="F86" s="6" t="s">
        <v>73</v>
      </c>
      <c r="G86" s="7">
        <v>36222</v>
      </c>
      <c r="H86" s="8">
        <v>7000</v>
      </c>
      <c r="I86" s="9">
        <f t="shared" si="11"/>
        <v>2450</v>
      </c>
      <c r="J86" s="9">
        <f t="shared" si="12"/>
        <v>2100</v>
      </c>
      <c r="K86" s="9">
        <f t="shared" si="13"/>
        <v>11550</v>
      </c>
      <c r="L86" s="9">
        <f t="shared" si="14"/>
        <v>6999.9</v>
      </c>
      <c r="M86" s="9">
        <f t="shared" si="15"/>
        <v>840</v>
      </c>
      <c r="N86" s="10">
        <f t="shared" si="16"/>
        <v>3710.1000000000004</v>
      </c>
      <c r="O86" s="11">
        <f t="shared" si="17"/>
        <v>3000</v>
      </c>
      <c r="P86" s="10"/>
      <c r="Q86" s="11">
        <f t="shared" si="18"/>
        <v>0</v>
      </c>
      <c r="R86" s="11">
        <f t="shared" si="19"/>
        <v>0</v>
      </c>
      <c r="S86" s="11">
        <f t="shared" si="20"/>
        <v>0</v>
      </c>
      <c r="T86" s="11" cm="1">
        <f t="array" ref="T86">_xlfn.IFS(E86="north",4000,E86="south",4200,E86="east",3800,E86="west",3600)</f>
        <v>3800</v>
      </c>
      <c r="U86" s="11">
        <f t="shared" si="21"/>
        <v>6000</v>
      </c>
    </row>
    <row r="87" spans="1:21" ht="20.25" customHeight="1">
      <c r="A87" s="6">
        <v>85</v>
      </c>
      <c r="B87" s="6" t="s">
        <v>217</v>
      </c>
      <c r="C87" s="6" t="s">
        <v>218</v>
      </c>
      <c r="D87" s="6" t="s">
        <v>46</v>
      </c>
      <c r="E87" s="6" t="s">
        <v>29</v>
      </c>
      <c r="F87" s="6" t="s">
        <v>58</v>
      </c>
      <c r="G87" s="7">
        <v>35809</v>
      </c>
      <c r="H87" s="8">
        <v>7000</v>
      </c>
      <c r="I87" s="9">
        <f t="shared" si="11"/>
        <v>2450</v>
      </c>
      <c r="J87" s="9">
        <f t="shared" si="12"/>
        <v>2100</v>
      </c>
      <c r="K87" s="9">
        <f t="shared" si="13"/>
        <v>11550</v>
      </c>
      <c r="L87" s="9">
        <f t="shared" si="14"/>
        <v>6999.9</v>
      </c>
      <c r="M87" s="9">
        <f t="shared" si="15"/>
        <v>840</v>
      </c>
      <c r="N87" s="10">
        <f t="shared" si="16"/>
        <v>3710.1000000000004</v>
      </c>
      <c r="O87" s="11">
        <f t="shared" si="17"/>
        <v>3000</v>
      </c>
      <c r="P87" s="10"/>
      <c r="Q87" s="11">
        <f t="shared" si="18"/>
        <v>0</v>
      </c>
      <c r="R87" s="11">
        <f t="shared" si="19"/>
        <v>0</v>
      </c>
      <c r="S87" s="11">
        <f t="shared" si="20"/>
        <v>0</v>
      </c>
      <c r="T87" s="11" cm="1">
        <f t="array" ref="T87">_xlfn.IFS(E87="north",4000,E87="south",4200,E87="east",3800,E87="west",3600)</f>
        <v>4000</v>
      </c>
      <c r="U87" s="11">
        <f t="shared" si="21"/>
        <v>6000</v>
      </c>
    </row>
    <row r="88" spans="1:21" ht="20.25" customHeight="1">
      <c r="A88" s="6">
        <v>86</v>
      </c>
      <c r="B88" s="6" t="s">
        <v>219</v>
      </c>
      <c r="C88" s="6" t="s">
        <v>93</v>
      </c>
      <c r="D88" s="6" t="s">
        <v>120</v>
      </c>
      <c r="E88" s="6" t="s">
        <v>29</v>
      </c>
      <c r="F88" s="6" t="s">
        <v>70</v>
      </c>
      <c r="G88" s="7">
        <v>35810</v>
      </c>
      <c r="H88" s="8">
        <v>17500</v>
      </c>
      <c r="I88" s="9">
        <f t="shared" si="11"/>
        <v>6125</v>
      </c>
      <c r="J88" s="9">
        <f t="shared" si="12"/>
        <v>5250</v>
      </c>
      <c r="K88" s="9">
        <f t="shared" si="13"/>
        <v>28875</v>
      </c>
      <c r="L88" s="9">
        <f t="shared" si="14"/>
        <v>17499.900000000001</v>
      </c>
      <c r="M88" s="9">
        <f t="shared" si="15"/>
        <v>2100</v>
      </c>
      <c r="N88" s="10">
        <f t="shared" si="16"/>
        <v>9275.0999999999985</v>
      </c>
      <c r="O88" s="11">
        <f t="shared" si="17"/>
        <v>0</v>
      </c>
      <c r="P88" s="10"/>
      <c r="Q88" s="11">
        <f t="shared" si="18"/>
        <v>0</v>
      </c>
      <c r="R88" s="11">
        <f t="shared" si="19"/>
        <v>0</v>
      </c>
      <c r="S88" s="11">
        <f t="shared" si="20"/>
        <v>6000</v>
      </c>
      <c r="T88" s="11" cm="1">
        <f t="array" ref="T88">_xlfn.IFS(E88="north",4000,E88="south",4200,E88="east",3800,E88="west",3600)</f>
        <v>4000</v>
      </c>
      <c r="U88" s="11">
        <f t="shared" si="21"/>
        <v>6000</v>
      </c>
    </row>
    <row r="89" spans="1:21" ht="20.25" customHeight="1">
      <c r="A89" s="6">
        <v>87</v>
      </c>
      <c r="B89" s="6" t="s">
        <v>220</v>
      </c>
      <c r="C89" s="6" t="s">
        <v>221</v>
      </c>
      <c r="D89" s="6" t="s">
        <v>42</v>
      </c>
      <c r="E89" s="6" t="s">
        <v>38</v>
      </c>
      <c r="F89" s="6" t="s">
        <v>39</v>
      </c>
      <c r="G89" s="7">
        <v>35811</v>
      </c>
      <c r="H89" s="8">
        <v>17500</v>
      </c>
      <c r="I89" s="9">
        <f t="shared" si="11"/>
        <v>6125</v>
      </c>
      <c r="J89" s="9">
        <f t="shared" si="12"/>
        <v>5250</v>
      </c>
      <c r="K89" s="9">
        <f t="shared" si="13"/>
        <v>28875</v>
      </c>
      <c r="L89" s="9">
        <f t="shared" si="14"/>
        <v>17499.900000000001</v>
      </c>
      <c r="M89" s="9">
        <f t="shared" si="15"/>
        <v>2100</v>
      </c>
      <c r="N89" s="10">
        <f t="shared" si="16"/>
        <v>9275.0999999999985</v>
      </c>
      <c r="O89" s="11">
        <f t="shared" si="17"/>
        <v>0</v>
      </c>
      <c r="P89" s="10"/>
      <c r="Q89" s="11">
        <f t="shared" si="18"/>
        <v>0</v>
      </c>
      <c r="R89" s="11">
        <f t="shared" si="19"/>
        <v>5000</v>
      </c>
      <c r="S89" s="11">
        <f t="shared" si="20"/>
        <v>0</v>
      </c>
      <c r="T89" s="11" cm="1">
        <f t="array" ref="T89">_xlfn.IFS(E89="north",4000,E89="south",4200,E89="east",3800,E89="west",3600)</f>
        <v>4200</v>
      </c>
      <c r="U89" s="11">
        <f t="shared" si="21"/>
        <v>6000</v>
      </c>
    </row>
    <row r="90" spans="1:21" ht="20.25" customHeight="1">
      <c r="A90" s="6">
        <v>88</v>
      </c>
      <c r="B90" s="6" t="s">
        <v>222</v>
      </c>
      <c r="C90" s="6" t="s">
        <v>223</v>
      </c>
      <c r="D90" s="6" t="s">
        <v>42</v>
      </c>
      <c r="E90" s="6" t="s">
        <v>54</v>
      </c>
      <c r="F90" s="6" t="s">
        <v>55</v>
      </c>
      <c r="G90" s="7">
        <v>35794</v>
      </c>
      <c r="H90" s="8">
        <v>7875</v>
      </c>
      <c r="I90" s="9">
        <f t="shared" si="11"/>
        <v>2756.25</v>
      </c>
      <c r="J90" s="9">
        <f t="shared" si="12"/>
        <v>2362.5</v>
      </c>
      <c r="K90" s="9">
        <f t="shared" si="13"/>
        <v>12993.75</v>
      </c>
      <c r="L90" s="9">
        <f t="shared" si="14"/>
        <v>7874.9</v>
      </c>
      <c r="M90" s="9">
        <f t="shared" si="15"/>
        <v>945</v>
      </c>
      <c r="N90" s="10">
        <f t="shared" si="16"/>
        <v>4173.8500000000004</v>
      </c>
      <c r="O90" s="11">
        <f t="shared" si="17"/>
        <v>3000</v>
      </c>
      <c r="P90" s="10"/>
      <c r="Q90" s="11">
        <f t="shared" si="18"/>
        <v>0</v>
      </c>
      <c r="R90" s="11">
        <f t="shared" si="19"/>
        <v>5000</v>
      </c>
      <c r="S90" s="11">
        <f t="shared" si="20"/>
        <v>0</v>
      </c>
      <c r="T90" s="11" cm="1">
        <f t="array" ref="T90">_xlfn.IFS(E90="north",4000,E90="south",4200,E90="east",3800,E90="west",3600)</f>
        <v>3600</v>
      </c>
      <c r="U90" s="11">
        <f t="shared" si="21"/>
        <v>6000</v>
      </c>
    </row>
    <row r="91" spans="1:21" ht="20.25" customHeight="1">
      <c r="A91" s="6">
        <v>89</v>
      </c>
      <c r="B91" s="6" t="s">
        <v>224</v>
      </c>
      <c r="C91" s="6" t="s">
        <v>225</v>
      </c>
      <c r="D91" s="6" t="s">
        <v>28</v>
      </c>
      <c r="E91" s="6" t="s">
        <v>29</v>
      </c>
      <c r="F91" s="6" t="s">
        <v>133</v>
      </c>
      <c r="G91" s="7">
        <v>28907</v>
      </c>
      <c r="H91" s="8">
        <v>22750</v>
      </c>
      <c r="I91" s="9">
        <f t="shared" si="11"/>
        <v>7962.4999999999991</v>
      </c>
      <c r="J91" s="9">
        <f t="shared" si="12"/>
        <v>6825</v>
      </c>
      <c r="K91" s="9">
        <f t="shared" si="13"/>
        <v>37537.5</v>
      </c>
      <c r="L91" s="9">
        <f t="shared" si="14"/>
        <v>22749.9</v>
      </c>
      <c r="M91" s="9">
        <f t="shared" si="15"/>
        <v>2730</v>
      </c>
      <c r="N91" s="10">
        <f t="shared" si="16"/>
        <v>12057.599999999999</v>
      </c>
      <c r="O91" s="11">
        <f t="shared" si="17"/>
        <v>0</v>
      </c>
      <c r="P91" s="10"/>
      <c r="Q91" s="11">
        <f t="shared" si="18"/>
        <v>0</v>
      </c>
      <c r="R91" s="11">
        <f t="shared" si="19"/>
        <v>5000</v>
      </c>
      <c r="S91" s="11">
        <f t="shared" si="20"/>
        <v>0</v>
      </c>
      <c r="T91" s="11" cm="1">
        <f t="array" ref="T91">_xlfn.IFS(E91="north",4000,E91="south",4200,E91="east",3800,E91="west",3600)</f>
        <v>4000</v>
      </c>
      <c r="U91" s="11">
        <f t="shared" si="21"/>
        <v>6000</v>
      </c>
    </row>
    <row r="92" spans="1:21" ht="20.25" customHeight="1">
      <c r="A92" s="6">
        <v>90</v>
      </c>
      <c r="B92" s="6" t="s">
        <v>226</v>
      </c>
      <c r="C92" s="6" t="s">
        <v>146</v>
      </c>
      <c r="D92" s="6" t="s">
        <v>46</v>
      </c>
      <c r="E92" s="6" t="s">
        <v>29</v>
      </c>
      <c r="F92" s="6" t="s">
        <v>82</v>
      </c>
      <c r="G92" s="7">
        <v>29226</v>
      </c>
      <c r="H92" s="8">
        <v>22750</v>
      </c>
      <c r="I92" s="9">
        <f t="shared" si="11"/>
        <v>7962.4999999999991</v>
      </c>
      <c r="J92" s="9">
        <f t="shared" si="12"/>
        <v>6825</v>
      </c>
      <c r="K92" s="9">
        <f t="shared" si="13"/>
        <v>37537.5</v>
      </c>
      <c r="L92" s="9">
        <f t="shared" si="14"/>
        <v>22749.9</v>
      </c>
      <c r="M92" s="9">
        <f t="shared" si="15"/>
        <v>2730</v>
      </c>
      <c r="N92" s="10">
        <f t="shared" si="16"/>
        <v>12057.599999999999</v>
      </c>
      <c r="O92" s="11">
        <f t="shared" si="17"/>
        <v>0</v>
      </c>
      <c r="P92" s="10"/>
      <c r="Q92" s="11">
        <f t="shared" si="18"/>
        <v>0</v>
      </c>
      <c r="R92" s="11">
        <f t="shared" si="19"/>
        <v>0</v>
      </c>
      <c r="S92" s="11">
        <f t="shared" si="20"/>
        <v>0</v>
      </c>
      <c r="T92" s="11" cm="1">
        <f t="array" ref="T92">_xlfn.IFS(E92="north",4000,E92="south",4200,E92="east",3800,E92="west",3600)</f>
        <v>4000</v>
      </c>
      <c r="U92" s="11">
        <f t="shared" si="21"/>
        <v>6000</v>
      </c>
    </row>
    <row r="93" spans="1:21" ht="20.25" customHeight="1">
      <c r="A93" s="6">
        <v>91</v>
      </c>
      <c r="B93" s="6" t="s">
        <v>227</v>
      </c>
      <c r="C93" s="6" t="s">
        <v>228</v>
      </c>
      <c r="D93" s="6" t="s">
        <v>28</v>
      </c>
      <c r="E93" s="6" t="s">
        <v>33</v>
      </c>
      <c r="F93" s="6" t="s">
        <v>73</v>
      </c>
      <c r="G93" s="7">
        <v>29172</v>
      </c>
      <c r="H93" s="8">
        <v>22750</v>
      </c>
      <c r="I93" s="9">
        <f t="shared" si="11"/>
        <v>7962.4999999999991</v>
      </c>
      <c r="J93" s="9">
        <f t="shared" si="12"/>
        <v>6825</v>
      </c>
      <c r="K93" s="9">
        <f t="shared" si="13"/>
        <v>37537.5</v>
      </c>
      <c r="L93" s="9">
        <f t="shared" si="14"/>
        <v>22749.9</v>
      </c>
      <c r="M93" s="9">
        <f t="shared" si="15"/>
        <v>2730</v>
      </c>
      <c r="N93" s="10">
        <f t="shared" si="16"/>
        <v>12057.599999999999</v>
      </c>
      <c r="O93" s="11">
        <f t="shared" si="17"/>
        <v>0</v>
      </c>
      <c r="P93" s="10"/>
      <c r="Q93" s="11">
        <f t="shared" si="18"/>
        <v>0</v>
      </c>
      <c r="R93" s="11">
        <f t="shared" si="19"/>
        <v>5000</v>
      </c>
      <c r="S93" s="11">
        <f t="shared" si="20"/>
        <v>0</v>
      </c>
      <c r="T93" s="11" cm="1">
        <f t="array" ref="T93">_xlfn.IFS(E93="north",4000,E93="south",4200,E93="east",3800,E93="west",3600)</f>
        <v>3800</v>
      </c>
      <c r="U93" s="11">
        <f t="shared" si="21"/>
        <v>6000</v>
      </c>
    </row>
    <row r="94" spans="1:21" ht="20.25" customHeight="1">
      <c r="A94" s="6">
        <v>92</v>
      </c>
      <c r="B94" s="6" t="s">
        <v>229</v>
      </c>
      <c r="C94" s="6" t="s">
        <v>230</v>
      </c>
      <c r="D94" s="6" t="s">
        <v>42</v>
      </c>
      <c r="E94" s="6" t="s">
        <v>33</v>
      </c>
      <c r="F94" s="6" t="s">
        <v>164</v>
      </c>
      <c r="G94" s="7">
        <v>32603</v>
      </c>
      <c r="H94" s="8">
        <v>17325</v>
      </c>
      <c r="I94" s="9">
        <f t="shared" si="11"/>
        <v>6063.75</v>
      </c>
      <c r="J94" s="9">
        <f t="shared" si="12"/>
        <v>5197.5</v>
      </c>
      <c r="K94" s="9">
        <f t="shared" si="13"/>
        <v>28586.25</v>
      </c>
      <c r="L94" s="9">
        <f t="shared" si="14"/>
        <v>17324.900000000001</v>
      </c>
      <c r="M94" s="9">
        <f t="shared" si="15"/>
        <v>2079</v>
      </c>
      <c r="N94" s="10">
        <f t="shared" si="16"/>
        <v>9182.3499999999985</v>
      </c>
      <c r="O94" s="11">
        <f t="shared" si="17"/>
        <v>0</v>
      </c>
      <c r="P94" s="10"/>
      <c r="Q94" s="11">
        <f t="shared" si="18"/>
        <v>0</v>
      </c>
      <c r="R94" s="11">
        <f t="shared" si="19"/>
        <v>5000</v>
      </c>
      <c r="S94" s="11">
        <f t="shared" si="20"/>
        <v>0</v>
      </c>
      <c r="T94" s="11" cm="1">
        <f t="array" ref="T94">_xlfn.IFS(E94="north",4000,E94="south",4200,E94="east",3800,E94="west",3600)</f>
        <v>3800</v>
      </c>
      <c r="U94" s="11">
        <f t="shared" si="21"/>
        <v>6000</v>
      </c>
    </row>
    <row r="95" spans="1:21" ht="20.25" customHeight="1">
      <c r="A95" s="6">
        <v>93</v>
      </c>
      <c r="B95" s="6" t="s">
        <v>231</v>
      </c>
      <c r="C95" s="6" t="s">
        <v>84</v>
      </c>
      <c r="D95" s="6" t="s">
        <v>28</v>
      </c>
      <c r="E95" s="6" t="s">
        <v>38</v>
      </c>
      <c r="F95" s="6" t="s">
        <v>108</v>
      </c>
      <c r="G95" s="7">
        <v>32604</v>
      </c>
      <c r="H95" s="8">
        <v>17325</v>
      </c>
      <c r="I95" s="9">
        <f t="shared" si="11"/>
        <v>6063.75</v>
      </c>
      <c r="J95" s="9">
        <f t="shared" si="12"/>
        <v>5197.5</v>
      </c>
      <c r="K95" s="9">
        <f t="shared" si="13"/>
        <v>28586.25</v>
      </c>
      <c r="L95" s="9">
        <f t="shared" si="14"/>
        <v>17324.900000000001</v>
      </c>
      <c r="M95" s="9">
        <f t="shared" si="15"/>
        <v>2079</v>
      </c>
      <c r="N95" s="10">
        <f t="shared" si="16"/>
        <v>9182.3499999999985</v>
      </c>
      <c r="O95" s="11">
        <f t="shared" si="17"/>
        <v>0</v>
      </c>
      <c r="P95" s="10"/>
      <c r="Q95" s="11">
        <f t="shared" si="18"/>
        <v>0</v>
      </c>
      <c r="R95" s="11">
        <f t="shared" si="19"/>
        <v>5000</v>
      </c>
      <c r="S95" s="11">
        <f t="shared" si="20"/>
        <v>0</v>
      </c>
      <c r="T95" s="11" cm="1">
        <f t="array" ref="T95">_xlfn.IFS(E95="north",4000,E95="south",4200,E95="east",3800,E95="west",3600)</f>
        <v>4200</v>
      </c>
      <c r="U95" s="11">
        <f t="shared" si="21"/>
        <v>6000</v>
      </c>
    </row>
    <row r="96" spans="1:21" ht="20.25" customHeight="1">
      <c r="A96" s="6">
        <v>94</v>
      </c>
      <c r="B96" s="6" t="s">
        <v>232</v>
      </c>
      <c r="C96" s="6" t="s">
        <v>233</v>
      </c>
      <c r="D96" s="6" t="s">
        <v>42</v>
      </c>
      <c r="E96" s="6" t="s">
        <v>54</v>
      </c>
      <c r="F96" s="6" t="s">
        <v>128</v>
      </c>
      <c r="G96" s="7">
        <v>32605</v>
      </c>
      <c r="H96" s="8">
        <v>17325</v>
      </c>
      <c r="I96" s="9">
        <f t="shared" si="11"/>
        <v>6063.75</v>
      </c>
      <c r="J96" s="9">
        <f t="shared" si="12"/>
        <v>5197.5</v>
      </c>
      <c r="K96" s="9">
        <f t="shared" si="13"/>
        <v>28586.25</v>
      </c>
      <c r="L96" s="9">
        <f t="shared" si="14"/>
        <v>17324.900000000001</v>
      </c>
      <c r="M96" s="9">
        <f t="shared" si="15"/>
        <v>2079</v>
      </c>
      <c r="N96" s="10">
        <f t="shared" si="16"/>
        <v>9182.3499999999985</v>
      </c>
      <c r="O96" s="11">
        <f t="shared" si="17"/>
        <v>0</v>
      </c>
      <c r="P96" s="10"/>
      <c r="Q96" s="11">
        <f t="shared" si="18"/>
        <v>0</v>
      </c>
      <c r="R96" s="11">
        <f t="shared" si="19"/>
        <v>5000</v>
      </c>
      <c r="S96" s="11">
        <f t="shared" si="20"/>
        <v>0</v>
      </c>
      <c r="T96" s="11" cm="1">
        <f t="array" ref="T96">_xlfn.IFS(E96="north",4000,E96="south",4200,E96="east",3800,E96="west",3600)</f>
        <v>3600</v>
      </c>
      <c r="U96" s="11">
        <f t="shared" si="21"/>
        <v>6000</v>
      </c>
    </row>
    <row r="97" spans="1:21" ht="20.25" customHeight="1">
      <c r="A97" s="6">
        <v>95</v>
      </c>
      <c r="B97" s="6" t="s">
        <v>234</v>
      </c>
      <c r="C97" s="6" t="s">
        <v>124</v>
      </c>
      <c r="D97" s="6" t="s">
        <v>42</v>
      </c>
      <c r="E97" s="6" t="s">
        <v>38</v>
      </c>
      <c r="F97" s="6" t="s">
        <v>108</v>
      </c>
      <c r="G97" s="7">
        <v>32606</v>
      </c>
      <c r="H97" s="8">
        <v>17325</v>
      </c>
      <c r="I97" s="9">
        <f t="shared" si="11"/>
        <v>6063.75</v>
      </c>
      <c r="J97" s="9">
        <f t="shared" si="12"/>
        <v>5197.5</v>
      </c>
      <c r="K97" s="9">
        <f t="shared" si="13"/>
        <v>28586.25</v>
      </c>
      <c r="L97" s="9">
        <f t="shared" si="14"/>
        <v>17324.900000000001</v>
      </c>
      <c r="M97" s="9">
        <f t="shared" si="15"/>
        <v>2079</v>
      </c>
      <c r="N97" s="10">
        <f t="shared" si="16"/>
        <v>9182.3499999999985</v>
      </c>
      <c r="O97" s="11">
        <f t="shared" si="17"/>
        <v>0</v>
      </c>
      <c r="P97" s="10"/>
      <c r="Q97" s="11">
        <f t="shared" si="18"/>
        <v>0</v>
      </c>
      <c r="R97" s="11">
        <f t="shared" si="19"/>
        <v>5000</v>
      </c>
      <c r="S97" s="11">
        <f t="shared" si="20"/>
        <v>0</v>
      </c>
      <c r="T97" s="11" cm="1">
        <f t="array" ref="T97">_xlfn.IFS(E97="north",4000,E97="south",4200,E97="east",3800,E97="west",3600)</f>
        <v>4200</v>
      </c>
      <c r="U97" s="11">
        <f t="shared" si="21"/>
        <v>6000</v>
      </c>
    </row>
    <row r="98" spans="1:21" ht="20.25" customHeight="1">
      <c r="A98" s="6">
        <v>96</v>
      </c>
      <c r="B98" s="6" t="s">
        <v>40</v>
      </c>
      <c r="C98" s="6" t="s">
        <v>36</v>
      </c>
      <c r="D98" s="6" t="s">
        <v>46</v>
      </c>
      <c r="E98" s="6" t="s">
        <v>54</v>
      </c>
      <c r="F98" s="6" t="s">
        <v>161</v>
      </c>
      <c r="G98" s="7">
        <v>32607</v>
      </c>
      <c r="H98" s="8">
        <v>17325</v>
      </c>
      <c r="I98" s="9">
        <f t="shared" si="11"/>
        <v>6063.75</v>
      </c>
      <c r="J98" s="9">
        <f t="shared" si="12"/>
        <v>5197.5</v>
      </c>
      <c r="K98" s="9">
        <f t="shared" si="13"/>
        <v>28586.25</v>
      </c>
      <c r="L98" s="9">
        <f t="shared" si="14"/>
        <v>17324.900000000001</v>
      </c>
      <c r="M98" s="9">
        <f t="shared" si="15"/>
        <v>2079</v>
      </c>
      <c r="N98" s="10">
        <f t="shared" si="16"/>
        <v>9182.3499999999985</v>
      </c>
      <c r="O98" s="11">
        <f t="shared" si="17"/>
        <v>0</v>
      </c>
      <c r="P98" s="10"/>
      <c r="Q98" s="11">
        <f t="shared" si="18"/>
        <v>0</v>
      </c>
      <c r="R98" s="11">
        <f t="shared" si="19"/>
        <v>0</v>
      </c>
      <c r="S98" s="11">
        <f t="shared" si="20"/>
        <v>0</v>
      </c>
      <c r="T98" s="11" cm="1">
        <f t="array" ref="T98">_xlfn.IFS(E98="north",4000,E98="south",4200,E98="east",3800,E98="west",3600)</f>
        <v>3600</v>
      </c>
      <c r="U98" s="11">
        <f t="shared" si="21"/>
        <v>6000</v>
      </c>
    </row>
    <row r="99" spans="1:21" ht="20.25" customHeight="1">
      <c r="A99" s="6">
        <v>97</v>
      </c>
      <c r="B99" s="6" t="s">
        <v>235</v>
      </c>
      <c r="C99" s="6" t="s">
        <v>236</v>
      </c>
      <c r="D99" s="6" t="s">
        <v>46</v>
      </c>
      <c r="E99" s="6" t="s">
        <v>38</v>
      </c>
      <c r="F99" s="6" t="s">
        <v>177</v>
      </c>
      <c r="G99" s="7">
        <v>32608</v>
      </c>
      <c r="H99" s="8">
        <v>17325</v>
      </c>
      <c r="I99" s="9">
        <f t="shared" si="11"/>
        <v>6063.75</v>
      </c>
      <c r="J99" s="9">
        <f t="shared" si="12"/>
        <v>5197.5</v>
      </c>
      <c r="K99" s="9">
        <f t="shared" si="13"/>
        <v>28586.25</v>
      </c>
      <c r="L99" s="9">
        <f t="shared" si="14"/>
        <v>17324.900000000001</v>
      </c>
      <c r="M99" s="9">
        <f t="shared" si="15"/>
        <v>2079</v>
      </c>
      <c r="N99" s="10">
        <f t="shared" si="16"/>
        <v>9182.3499999999985</v>
      </c>
      <c r="O99" s="11">
        <f t="shared" si="17"/>
        <v>0</v>
      </c>
      <c r="P99" s="10"/>
      <c r="Q99" s="11">
        <f t="shared" si="18"/>
        <v>0</v>
      </c>
      <c r="R99" s="11">
        <f t="shared" si="19"/>
        <v>0</v>
      </c>
      <c r="S99" s="11">
        <f t="shared" si="20"/>
        <v>0</v>
      </c>
      <c r="T99" s="11" cm="1">
        <f t="array" ref="T99">_xlfn.IFS(E99="north",4000,E99="south",4200,E99="east",3800,E99="west",3600)</f>
        <v>4200</v>
      </c>
      <c r="U99" s="11">
        <f t="shared" si="21"/>
        <v>6000</v>
      </c>
    </row>
    <row r="100" spans="1:21" ht="20.25" customHeight="1">
      <c r="A100" s="6">
        <v>98</v>
      </c>
      <c r="B100" s="6" t="s">
        <v>237</v>
      </c>
      <c r="C100" s="6" t="s">
        <v>238</v>
      </c>
      <c r="D100" s="6" t="s">
        <v>120</v>
      </c>
      <c r="E100" s="6" t="s">
        <v>29</v>
      </c>
      <c r="F100" s="6" t="s">
        <v>43</v>
      </c>
      <c r="G100" s="7">
        <v>32609</v>
      </c>
      <c r="H100" s="8">
        <v>17325</v>
      </c>
      <c r="I100" s="9">
        <f t="shared" si="11"/>
        <v>6063.75</v>
      </c>
      <c r="J100" s="9">
        <f t="shared" si="12"/>
        <v>5197.5</v>
      </c>
      <c r="K100" s="9">
        <f t="shared" si="13"/>
        <v>28586.25</v>
      </c>
      <c r="L100" s="9">
        <f t="shared" si="14"/>
        <v>17324.900000000001</v>
      </c>
      <c r="M100" s="9">
        <f t="shared" si="15"/>
        <v>2079</v>
      </c>
      <c r="N100" s="10">
        <f t="shared" si="16"/>
        <v>9182.3499999999985</v>
      </c>
      <c r="O100" s="11">
        <f t="shared" si="17"/>
        <v>0</v>
      </c>
      <c r="P100" s="10"/>
      <c r="Q100" s="11">
        <f t="shared" si="18"/>
        <v>0</v>
      </c>
      <c r="R100" s="11">
        <f t="shared" si="19"/>
        <v>0</v>
      </c>
      <c r="S100" s="11">
        <f t="shared" si="20"/>
        <v>6000</v>
      </c>
      <c r="T100" s="11" cm="1">
        <f t="array" ref="T100">_xlfn.IFS(E100="north",4000,E100="south",4200,E100="east",3800,E100="west",3600)</f>
        <v>4000</v>
      </c>
      <c r="U100" s="11">
        <f t="shared" si="21"/>
        <v>6000</v>
      </c>
    </row>
    <row r="101" spans="1:21" ht="20.25" customHeight="1">
      <c r="A101" s="6">
        <v>99</v>
      </c>
      <c r="B101" s="6" t="s">
        <v>239</v>
      </c>
      <c r="C101" s="6" t="s">
        <v>186</v>
      </c>
      <c r="D101" s="6" t="s">
        <v>67</v>
      </c>
      <c r="E101" s="6" t="s">
        <v>54</v>
      </c>
      <c r="F101" s="6" t="s">
        <v>111</v>
      </c>
      <c r="G101" s="7">
        <v>35794</v>
      </c>
      <c r="H101" s="8">
        <v>10500</v>
      </c>
      <c r="I101" s="9">
        <f t="shared" si="11"/>
        <v>3674.9999999999995</v>
      </c>
      <c r="J101" s="9">
        <f t="shared" si="12"/>
        <v>3150</v>
      </c>
      <c r="K101" s="9">
        <f t="shared" si="13"/>
        <v>17325</v>
      </c>
      <c r="L101" s="9">
        <f t="shared" si="14"/>
        <v>10499.9</v>
      </c>
      <c r="M101" s="9">
        <f t="shared" si="15"/>
        <v>1260</v>
      </c>
      <c r="N101" s="10">
        <f t="shared" si="16"/>
        <v>5565.1</v>
      </c>
      <c r="O101" s="11">
        <f t="shared" si="17"/>
        <v>0</v>
      </c>
      <c r="P101" s="10"/>
      <c r="Q101" s="11">
        <f t="shared" si="18"/>
        <v>0</v>
      </c>
      <c r="R101" s="11">
        <f t="shared" si="19"/>
        <v>0</v>
      </c>
      <c r="S101" s="11">
        <f t="shared" si="20"/>
        <v>0</v>
      </c>
      <c r="T101" s="11" cm="1">
        <f t="array" ref="T101">_xlfn.IFS(E101="north",4000,E101="south",4200,E101="east",3800,E101="west",3600)</f>
        <v>3600</v>
      </c>
      <c r="U101" s="11">
        <f t="shared" si="21"/>
        <v>6000</v>
      </c>
    </row>
    <row r="102" spans="1:21" ht="20.25" customHeight="1">
      <c r="A102" s="6">
        <v>100</v>
      </c>
      <c r="B102" s="6" t="s">
        <v>240</v>
      </c>
      <c r="C102" s="6" t="s">
        <v>241</v>
      </c>
      <c r="D102" s="6" t="s">
        <v>67</v>
      </c>
      <c r="E102" s="6" t="s">
        <v>38</v>
      </c>
      <c r="F102" s="6" t="s">
        <v>39</v>
      </c>
      <c r="G102" s="7">
        <v>36193</v>
      </c>
      <c r="H102" s="8">
        <v>7875</v>
      </c>
      <c r="I102" s="9">
        <f t="shared" si="11"/>
        <v>2756.25</v>
      </c>
      <c r="J102" s="9">
        <f t="shared" si="12"/>
        <v>2362.5</v>
      </c>
      <c r="K102" s="9">
        <f t="shared" si="13"/>
        <v>12993.75</v>
      </c>
      <c r="L102" s="9">
        <f t="shared" si="14"/>
        <v>7874.9</v>
      </c>
      <c r="M102" s="9">
        <f t="shared" si="15"/>
        <v>945</v>
      </c>
      <c r="N102" s="10">
        <f t="shared" si="16"/>
        <v>4173.8500000000004</v>
      </c>
      <c r="O102" s="11">
        <f t="shared" si="17"/>
        <v>3000</v>
      </c>
      <c r="P102" s="10"/>
      <c r="Q102" s="11">
        <f t="shared" si="18"/>
        <v>0</v>
      </c>
      <c r="R102" s="11">
        <f t="shared" si="19"/>
        <v>0</v>
      </c>
      <c r="S102" s="11">
        <f t="shared" si="20"/>
        <v>0</v>
      </c>
      <c r="T102" s="11" cm="1">
        <f t="array" ref="T102">_xlfn.IFS(E102="north",4000,E102="south",4200,E102="east",3800,E102="west",3600)</f>
        <v>4200</v>
      </c>
      <c r="U102" s="11">
        <f t="shared" si="21"/>
        <v>6000</v>
      </c>
    </row>
    <row r="103" spans="1:21" ht="20.25" customHeight="1">
      <c r="U103" s="11"/>
    </row>
    <row r="104" spans="1:21" ht="20.25" customHeight="1">
      <c r="U104" s="11"/>
    </row>
    <row r="105" spans="1:21" ht="20.25" customHeight="1"/>
    <row r="106" spans="1:21" ht="20.25" customHeight="1"/>
    <row r="107" spans="1:21" ht="20.25" customHeight="1"/>
    <row r="108" spans="1:21" ht="20.25" customHeight="1"/>
    <row r="109" spans="1:21" ht="20.25" customHeight="1"/>
    <row r="110" spans="1:21" ht="20.25" customHeight="1"/>
    <row r="111" spans="1:21" ht="20.25" customHeight="1"/>
    <row r="112" spans="1:21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8"/>
  <sheetViews>
    <sheetView workbookViewId="0">
      <selection activeCell="G11" sqref="G11"/>
    </sheetView>
  </sheetViews>
  <sheetFormatPr defaultColWidth="8.4140625" defaultRowHeight="15" customHeight="1"/>
  <cols>
    <col min="1" max="1" width="5.25" bestFit="1" customWidth="1"/>
    <col min="2" max="2" width="4.5" bestFit="1" customWidth="1"/>
    <col min="3" max="3" width="7.33203125" bestFit="1" customWidth="1"/>
    <col min="4" max="4" width="7.4140625" bestFit="1" customWidth="1"/>
    <col min="5" max="5" width="8.1640625" customWidth="1"/>
    <col min="6" max="6" width="9.33203125" customWidth="1"/>
    <col min="7" max="7" width="10.83203125" customWidth="1"/>
    <col min="8" max="8" width="4.5" bestFit="1" customWidth="1"/>
    <col min="9" max="9" width="6" bestFit="1" customWidth="1"/>
    <col min="10" max="10" width="9.83203125" bestFit="1" customWidth="1"/>
    <col min="11" max="11" width="12.33203125" bestFit="1" customWidth="1"/>
    <col min="12" max="12" width="12.4140625" customWidth="1"/>
  </cols>
  <sheetData>
    <row r="1" spans="1:11" ht="15" customHeight="1">
      <c r="C1" s="46" t="s">
        <v>244</v>
      </c>
      <c r="D1" s="47"/>
      <c r="E1" s="47"/>
      <c r="F1" s="47"/>
    </row>
    <row r="2" spans="1:11" ht="20.25">
      <c r="A2" s="12" t="s">
        <v>242</v>
      </c>
      <c r="B2" s="12" t="s">
        <v>243</v>
      </c>
      <c r="C2" s="12" t="s">
        <v>254</v>
      </c>
      <c r="D2" s="12" t="s">
        <v>255</v>
      </c>
      <c r="E2" s="12" t="s">
        <v>264</v>
      </c>
      <c r="F2" s="12" t="s">
        <v>265</v>
      </c>
      <c r="H2" s="45" t="s">
        <v>266</v>
      </c>
      <c r="I2" s="45"/>
    </row>
    <row r="3" spans="1:11" ht="20.25">
      <c r="A3" s="13" t="s">
        <v>250</v>
      </c>
      <c r="B3" s="13">
        <v>45</v>
      </c>
      <c r="C3" s="15" t="b">
        <f>IF(B3&gt;=50,TRUE,FALSE)</f>
        <v>0</v>
      </c>
      <c r="D3" s="15" t="str">
        <f>IF(B3&lt;40,"Fail","Pass")</f>
        <v>Pass</v>
      </c>
      <c r="E3" s="15">
        <f>IF(B3&lt;40,1,0)</f>
        <v>0</v>
      </c>
      <c r="F3" s="15">
        <f>IF(B3&lt;=35,B3+5,B3)</f>
        <v>45</v>
      </c>
      <c r="H3" s="44" t="s">
        <v>267</v>
      </c>
      <c r="I3" s="44"/>
      <c r="J3" s="44"/>
      <c r="K3" s="44"/>
    </row>
    <row r="4" spans="1:11" ht="20.25">
      <c r="A4" s="13" t="s">
        <v>44</v>
      </c>
      <c r="B4" s="13">
        <v>80</v>
      </c>
      <c r="C4" s="15" t="b">
        <f t="shared" ref="C4:C7" si="0">IF(B4&gt;=50,TRUE,FALSE)</f>
        <v>1</v>
      </c>
      <c r="D4" s="15" t="str">
        <f t="shared" ref="D4:D7" si="1">IF(B4&lt;40,"Fail","Pass")</f>
        <v>Pass</v>
      </c>
      <c r="E4" s="15">
        <f t="shared" ref="E4:E7" si="2">IF(B4&lt;40,1,0)</f>
        <v>0</v>
      </c>
      <c r="F4" s="15">
        <f t="shared" ref="F4:F7" si="3">IF(B4&lt;=35,B4+5,B4)</f>
        <v>80</v>
      </c>
      <c r="H4" s="44" t="s">
        <v>268</v>
      </c>
      <c r="I4" s="44"/>
      <c r="J4" s="44"/>
      <c r="K4" s="44"/>
    </row>
    <row r="5" spans="1:11" ht="20.25">
      <c r="A5" s="13" t="s">
        <v>251</v>
      </c>
      <c r="B5" s="13">
        <v>35</v>
      </c>
      <c r="C5" s="15" t="b">
        <f t="shared" si="0"/>
        <v>0</v>
      </c>
      <c r="D5" s="15" t="str">
        <f t="shared" si="1"/>
        <v>Fail</v>
      </c>
      <c r="E5" s="15">
        <f t="shared" si="2"/>
        <v>1</v>
      </c>
      <c r="F5" s="15">
        <f t="shared" si="3"/>
        <v>40</v>
      </c>
      <c r="H5" s="44" t="s">
        <v>269</v>
      </c>
      <c r="I5" s="44"/>
      <c r="J5" s="44"/>
      <c r="K5" s="44"/>
    </row>
    <row r="6" spans="1:11" ht="20.25">
      <c r="A6" s="13" t="s">
        <v>252</v>
      </c>
      <c r="B6" s="13">
        <v>90</v>
      </c>
      <c r="C6" s="15" t="b">
        <f t="shared" si="0"/>
        <v>1</v>
      </c>
      <c r="D6" s="15" t="str">
        <f t="shared" si="1"/>
        <v>Pass</v>
      </c>
      <c r="E6" s="15">
        <f t="shared" si="2"/>
        <v>0</v>
      </c>
      <c r="F6" s="15">
        <f t="shared" si="3"/>
        <v>90</v>
      </c>
      <c r="H6" s="44" t="s">
        <v>270</v>
      </c>
      <c r="I6" s="44"/>
      <c r="J6" s="44"/>
      <c r="K6" s="44"/>
    </row>
    <row r="7" spans="1:11" ht="20.25">
      <c r="A7" s="13" t="s">
        <v>253</v>
      </c>
      <c r="B7" s="13">
        <v>78</v>
      </c>
      <c r="C7" s="15" t="b">
        <f t="shared" si="0"/>
        <v>1</v>
      </c>
      <c r="D7" s="15" t="str">
        <f t="shared" si="1"/>
        <v>Pass</v>
      </c>
      <c r="E7" s="15">
        <f t="shared" si="2"/>
        <v>0</v>
      </c>
      <c r="F7" s="15">
        <f t="shared" si="3"/>
        <v>78</v>
      </c>
    </row>
    <row r="8" spans="1:11" ht="20.25"/>
    <row r="9" spans="1:11" ht="20.25"/>
    <row r="10" spans="1:11" ht="20.25">
      <c r="A10" s="12" t="s">
        <v>242</v>
      </c>
      <c r="B10" s="12" t="s">
        <v>245</v>
      </c>
      <c r="C10" s="12" t="s">
        <v>246</v>
      </c>
      <c r="D10" s="12" t="s">
        <v>247</v>
      </c>
      <c r="E10" s="12" t="s">
        <v>248</v>
      </c>
      <c r="F10" s="12" t="s">
        <v>249</v>
      </c>
      <c r="H10" s="16"/>
      <c r="I10" s="16"/>
    </row>
    <row r="11" spans="1:11" ht="20.25">
      <c r="A11" s="13" t="s">
        <v>250</v>
      </c>
      <c r="B11" s="13">
        <v>30</v>
      </c>
      <c r="C11" s="13">
        <v>45</v>
      </c>
      <c r="D11" s="13">
        <v>20</v>
      </c>
      <c r="E11" s="14">
        <f>AVERAGE(B11:D11)</f>
        <v>31.666666666666668</v>
      </c>
      <c r="F11" s="15" t="str">
        <f>IF(AVERAGE(B11:D11)&gt;=50,"Good","Bad")</f>
        <v>Bad</v>
      </c>
    </row>
    <row r="12" spans="1:11" ht="20.25">
      <c r="A12" s="13" t="s">
        <v>44</v>
      </c>
      <c r="B12" s="13">
        <v>80</v>
      </c>
      <c r="C12" s="13">
        <v>85</v>
      </c>
      <c r="D12" s="13">
        <v>78</v>
      </c>
      <c r="E12" s="14">
        <f t="shared" ref="E12:E15" si="4">AVERAGE(B12:D12)</f>
        <v>81</v>
      </c>
      <c r="F12" s="15" t="str">
        <f t="shared" ref="F12:F15" si="5">IF(AVERAGE(B12:D12)&gt;=50,"Good","Bad")</f>
        <v>Good</v>
      </c>
    </row>
    <row r="13" spans="1:11" ht="20.25">
      <c r="A13" s="13" t="s">
        <v>251</v>
      </c>
      <c r="B13" s="13">
        <v>35</v>
      </c>
      <c r="C13" s="13">
        <v>33</v>
      </c>
      <c r="D13" s="13">
        <v>32</v>
      </c>
      <c r="E13" s="14">
        <f t="shared" si="4"/>
        <v>33.333333333333336</v>
      </c>
      <c r="F13" s="15" t="str">
        <f t="shared" si="5"/>
        <v>Bad</v>
      </c>
    </row>
    <row r="14" spans="1:11" ht="20.25">
      <c r="A14" s="13" t="s">
        <v>252</v>
      </c>
      <c r="B14" s="13">
        <v>90</v>
      </c>
      <c r="C14" s="13">
        <v>85</v>
      </c>
      <c r="D14" s="13">
        <v>80</v>
      </c>
      <c r="E14" s="14">
        <f t="shared" si="4"/>
        <v>85</v>
      </c>
      <c r="F14" s="15" t="str">
        <f t="shared" si="5"/>
        <v>Good</v>
      </c>
    </row>
    <row r="15" spans="1:11" ht="20.25">
      <c r="A15" s="13" t="s">
        <v>253</v>
      </c>
      <c r="B15" s="13">
        <v>78</v>
      </c>
      <c r="C15" s="13">
        <v>80</v>
      </c>
      <c r="D15" s="13">
        <v>70</v>
      </c>
      <c r="E15" s="14">
        <f t="shared" si="4"/>
        <v>76</v>
      </c>
      <c r="F15" s="15" t="str">
        <f t="shared" si="5"/>
        <v>Good</v>
      </c>
    </row>
    <row r="16" spans="1:11" ht="20.25"/>
    <row r="17" spans="1:5" ht="20.25">
      <c r="E17" s="17"/>
    </row>
    <row r="18" spans="1:5" ht="20.25">
      <c r="E18" s="17"/>
    </row>
    <row r="28" spans="1:5" ht="15" customHeight="1">
      <c r="A28" s="16"/>
    </row>
  </sheetData>
  <mergeCells count="6">
    <mergeCell ref="H6:K6"/>
    <mergeCell ref="H2:I2"/>
    <mergeCell ref="C1:F1"/>
    <mergeCell ref="H3:K3"/>
    <mergeCell ref="H4:K4"/>
    <mergeCell ref="H5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3E98-E6E2-4DF6-9153-5E8EA276ADE3}">
  <dimension ref="A1:N16"/>
  <sheetViews>
    <sheetView topLeftCell="A7" workbookViewId="0">
      <selection activeCell="C17" sqref="C17"/>
    </sheetView>
  </sheetViews>
  <sheetFormatPr defaultRowHeight="20.25"/>
  <sheetData>
    <row r="1" spans="1:14">
      <c r="A1" s="20" t="s">
        <v>271</v>
      </c>
    </row>
    <row r="2" spans="1:14">
      <c r="A2">
        <v>500</v>
      </c>
      <c r="L2" t="s">
        <v>321</v>
      </c>
    </row>
    <row r="3" spans="1:14">
      <c r="A3">
        <v>900</v>
      </c>
      <c r="B3" s="48" t="s">
        <v>244</v>
      </c>
      <c r="C3" s="48"/>
      <c r="D3" s="48"/>
      <c r="L3">
        <v>100</v>
      </c>
      <c r="M3">
        <v>10</v>
      </c>
      <c r="N3" t="str">
        <f>IF(L3=M3,"yes","no")</f>
        <v>no</v>
      </c>
    </row>
    <row r="4" spans="1:14">
      <c r="A4" s="19" t="s">
        <v>272</v>
      </c>
      <c r="B4" s="19" t="s">
        <v>254</v>
      </c>
      <c r="C4" s="19" t="s">
        <v>273</v>
      </c>
      <c r="D4" s="19" t="s">
        <v>264</v>
      </c>
      <c r="L4">
        <v>999</v>
      </c>
      <c r="N4" t="str">
        <f>IF(L4&lt;&gt;999,"yes","no")</f>
        <v>no</v>
      </c>
    </row>
    <row r="5" spans="1:14">
      <c r="A5" s="15">
        <f>IF(A2&gt;=A3,A2,A3)</f>
        <v>900</v>
      </c>
      <c r="B5" s="15" t="b">
        <f>IF(A2&gt;=A3,TRUE,FALSE)</f>
        <v>0</v>
      </c>
      <c r="C5" s="15"/>
      <c r="D5" s="15">
        <f>IF(A2&gt;=A3,A3*100,A2*100)</f>
        <v>50000</v>
      </c>
    </row>
    <row r="7" spans="1:14" ht="28.15" customHeight="1">
      <c r="A7" s="20" t="s">
        <v>260</v>
      </c>
      <c r="K7" t="s">
        <v>317</v>
      </c>
    </row>
    <row r="8" spans="1:14" ht="30">
      <c r="H8" s="22" t="s">
        <v>256</v>
      </c>
      <c r="I8" s="22" t="s">
        <v>257</v>
      </c>
      <c r="K8" s="16" t="s">
        <v>318</v>
      </c>
      <c r="L8" t="s">
        <v>319</v>
      </c>
    </row>
    <row r="9" spans="1:14">
      <c r="A9" s="19" t="s">
        <v>274</v>
      </c>
      <c r="B9" s="15">
        <v>10</v>
      </c>
      <c r="C9" s="21" t="s">
        <v>244</v>
      </c>
      <c r="F9" s="15" t="s">
        <v>258</v>
      </c>
      <c r="G9" s="15" t="s">
        <v>259</v>
      </c>
      <c r="H9" s="18" t="s">
        <v>260</v>
      </c>
      <c r="I9" s="18" t="s">
        <v>261</v>
      </c>
      <c r="K9" t="s">
        <v>320</v>
      </c>
      <c r="L9" t="str">
        <f>IF(K9="Sunday","yes","No")</f>
        <v>yes</v>
      </c>
    </row>
    <row r="10" spans="1:14">
      <c r="A10" s="19" t="s">
        <v>259</v>
      </c>
      <c r="B10" s="15">
        <v>100</v>
      </c>
      <c r="C10" s="15" t="b">
        <f>AND(B9&gt;=50,B10&gt;=50)</f>
        <v>0</v>
      </c>
      <c r="F10" s="15" t="s">
        <v>262</v>
      </c>
      <c r="G10" s="15" t="s">
        <v>262</v>
      </c>
      <c r="H10" s="15" t="b">
        <v>1</v>
      </c>
      <c r="I10" s="15" t="b">
        <v>1</v>
      </c>
    </row>
    <row r="11" spans="1:14">
      <c r="F11" s="15" t="s">
        <v>262</v>
      </c>
      <c r="G11" s="15" t="s">
        <v>263</v>
      </c>
      <c r="H11" s="15" t="b">
        <v>0</v>
      </c>
      <c r="I11" s="15" t="b">
        <v>1</v>
      </c>
    </row>
    <row r="12" spans="1:14">
      <c r="F12" s="15" t="s">
        <v>263</v>
      </c>
      <c r="G12" s="15" t="s">
        <v>262</v>
      </c>
      <c r="H12" s="15" t="b">
        <v>0</v>
      </c>
      <c r="I12" s="15" t="b">
        <v>1</v>
      </c>
    </row>
    <row r="13" spans="1:14">
      <c r="A13" s="20" t="s">
        <v>261</v>
      </c>
      <c r="F13" s="15" t="s">
        <v>263</v>
      </c>
      <c r="G13" s="15" t="s">
        <v>263</v>
      </c>
      <c r="H13" s="15" t="b">
        <v>0</v>
      </c>
      <c r="I13" s="15" t="b">
        <v>0</v>
      </c>
    </row>
    <row r="15" spans="1:14">
      <c r="A15" s="19" t="s">
        <v>274</v>
      </c>
      <c r="B15" s="15">
        <v>10</v>
      </c>
      <c r="C15" s="21" t="s">
        <v>244</v>
      </c>
    </row>
    <row r="16" spans="1:14">
      <c r="A16" s="19" t="s">
        <v>259</v>
      </c>
      <c r="B16" s="15">
        <v>100</v>
      </c>
      <c r="C16" s="15" t="b">
        <f>OR(B15&gt;=50,B16&gt;=50)</f>
        <v>1</v>
      </c>
    </row>
  </sheetData>
  <mergeCells count="1"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9FB6-5980-4C91-A5EE-9C80A0AF7F62}">
  <dimension ref="A1:O61"/>
  <sheetViews>
    <sheetView tabSelected="1" topLeftCell="A51" zoomScaleNormal="100" workbookViewId="0">
      <selection activeCell="F62" sqref="F62"/>
    </sheetView>
  </sheetViews>
  <sheetFormatPr defaultRowHeight="20.25"/>
  <cols>
    <col min="1" max="1" width="10.1640625" bestFit="1" customWidth="1"/>
    <col min="2" max="2" width="9.1640625" bestFit="1" customWidth="1"/>
    <col min="3" max="3" width="14.83203125" bestFit="1" customWidth="1"/>
    <col min="4" max="4" width="9.9140625" bestFit="1" customWidth="1"/>
  </cols>
  <sheetData>
    <row r="1" spans="1:6">
      <c r="A1" t="s">
        <v>275</v>
      </c>
    </row>
    <row r="2" spans="1:6">
      <c r="A2" s="24" t="s">
        <v>276</v>
      </c>
    </row>
    <row r="4" spans="1:6">
      <c r="A4" s="23" t="s">
        <v>277</v>
      </c>
    </row>
    <row r="5" spans="1:6">
      <c r="A5" s="16" t="s">
        <v>278</v>
      </c>
      <c r="B5" s="16" t="s">
        <v>279</v>
      </c>
    </row>
    <row r="6" spans="1:6">
      <c r="A6" s="16" t="s">
        <v>280</v>
      </c>
      <c r="B6" s="16" t="s">
        <v>281</v>
      </c>
    </row>
    <row r="7" spans="1:6">
      <c r="A7" s="16" t="s">
        <v>282</v>
      </c>
      <c r="B7" s="16" t="s">
        <v>283</v>
      </c>
    </row>
    <row r="9" spans="1:6">
      <c r="A9" s="12" t="s">
        <v>242</v>
      </c>
      <c r="B9" s="12" t="s">
        <v>245</v>
      </c>
      <c r="C9" s="12" t="s">
        <v>246</v>
      </c>
      <c r="D9" s="12" t="s">
        <v>247</v>
      </c>
      <c r="E9" s="12" t="s">
        <v>248</v>
      </c>
      <c r="F9" s="12" t="s">
        <v>284</v>
      </c>
    </row>
    <row r="10" spans="1:6">
      <c r="A10" s="13" t="s">
        <v>250</v>
      </c>
      <c r="B10" s="13">
        <v>55</v>
      </c>
      <c r="C10" s="13">
        <v>45</v>
      </c>
      <c r="D10" s="13">
        <v>60</v>
      </c>
      <c r="E10" s="14">
        <f>AVERAGE(B10:D10)</f>
        <v>53.333333333333336</v>
      </c>
      <c r="F10" s="15" t="str">
        <f>IF(E10&lt;=40,"Fail",IF(AND(E10&gt;40,E10&lt;=70),"Pass","Dist"))</f>
        <v>Pass</v>
      </c>
    </row>
    <row r="11" spans="1:6">
      <c r="A11" s="13" t="s">
        <v>44</v>
      </c>
      <c r="B11" s="13">
        <v>80</v>
      </c>
      <c r="C11" s="13">
        <v>85</v>
      </c>
      <c r="D11" s="13">
        <v>78</v>
      </c>
      <c r="E11" s="14">
        <f t="shared" ref="E11:E14" si="0">AVERAGE(B11:D11)</f>
        <v>81</v>
      </c>
      <c r="F11" s="15" t="str">
        <f t="shared" ref="F11:F14" si="1">IF(E11&lt;=40,"Fail",IF(AND(E11&gt;40,E11&lt;=70),"Pass","Dist"))</f>
        <v>Dist</v>
      </c>
    </row>
    <row r="12" spans="1:6">
      <c r="A12" s="13" t="s">
        <v>251</v>
      </c>
      <c r="B12" s="13">
        <v>35</v>
      </c>
      <c r="C12" s="13">
        <v>33</v>
      </c>
      <c r="D12" s="13">
        <v>32</v>
      </c>
      <c r="E12" s="14">
        <f t="shared" si="0"/>
        <v>33.333333333333336</v>
      </c>
      <c r="F12" s="15" t="str">
        <f t="shared" si="1"/>
        <v>Fail</v>
      </c>
    </row>
    <row r="13" spans="1:6">
      <c r="A13" s="13" t="s">
        <v>252</v>
      </c>
      <c r="B13" s="13">
        <v>90</v>
      </c>
      <c r="C13" s="13">
        <v>85</v>
      </c>
      <c r="D13" s="13">
        <v>80</v>
      </c>
      <c r="E13" s="14">
        <f t="shared" si="0"/>
        <v>85</v>
      </c>
      <c r="F13" s="15" t="str">
        <f t="shared" si="1"/>
        <v>Dist</v>
      </c>
    </row>
    <row r="14" spans="1:6">
      <c r="A14" s="13" t="s">
        <v>253</v>
      </c>
      <c r="B14" s="13">
        <v>78</v>
      </c>
      <c r="C14" s="13">
        <v>80</v>
      </c>
      <c r="D14" s="13">
        <v>70</v>
      </c>
      <c r="E14" s="14">
        <f t="shared" si="0"/>
        <v>76</v>
      </c>
      <c r="F14" s="15" t="str">
        <f t="shared" si="1"/>
        <v>Dist</v>
      </c>
    </row>
    <row r="17" spans="1:15">
      <c r="A17" s="24" t="s">
        <v>276</v>
      </c>
    </row>
    <row r="19" spans="1:15">
      <c r="A19" s="23" t="s">
        <v>294</v>
      </c>
    </row>
    <row r="20" spans="1:15">
      <c r="A20" s="51" t="s">
        <v>316</v>
      </c>
      <c r="B20" s="51"/>
      <c r="C20" s="25" t="s">
        <v>285</v>
      </c>
    </row>
    <row r="21" spans="1:15">
      <c r="A21" s="51" t="s">
        <v>287</v>
      </c>
      <c r="B21" s="51"/>
      <c r="C21" s="25" t="s">
        <v>286</v>
      </c>
    </row>
    <row r="22" spans="1:15">
      <c r="A22" s="51" t="s">
        <v>289</v>
      </c>
      <c r="B22" s="51"/>
      <c r="C22" s="25" t="s">
        <v>288</v>
      </c>
    </row>
    <row r="24" spans="1:15">
      <c r="A24" s="12" t="s">
        <v>290</v>
      </c>
      <c r="B24" s="12" t="s">
        <v>291</v>
      </c>
      <c r="C24" s="12" t="s">
        <v>292</v>
      </c>
      <c r="D24" s="12" t="s">
        <v>293</v>
      </c>
    </row>
    <row r="25" spans="1:15">
      <c r="A25" s="13">
        <v>190236</v>
      </c>
      <c r="B25" s="13">
        <v>220</v>
      </c>
      <c r="C25" s="13">
        <v>190</v>
      </c>
      <c r="D25" s="13" t="str">
        <f>IF(C25&lt;B25,"Ticket Available",IF(C25=B25,"Full",IF(C25&gt;B25,"waiting","invaild")))</f>
        <v>Ticket Available</v>
      </c>
    </row>
    <row r="26" spans="1:15">
      <c r="A26" s="13">
        <v>261789</v>
      </c>
      <c r="B26" s="13">
        <v>90</v>
      </c>
      <c r="C26" s="13">
        <v>70</v>
      </c>
      <c r="D26" s="13" t="str">
        <f t="shared" ref="D26:D29" si="2">IF(C26&lt;B26,"Ticket Available",IF(C26=B26,"Full",IF(C26&gt;B26,"waiting","invaild")))</f>
        <v>Ticket Available</v>
      </c>
    </row>
    <row r="27" spans="1:15">
      <c r="A27" s="13">
        <v>156234</v>
      </c>
      <c r="B27" s="13">
        <v>150</v>
      </c>
      <c r="C27" s="13">
        <v>150</v>
      </c>
      <c r="D27" s="13" t="str">
        <f t="shared" si="2"/>
        <v>Full</v>
      </c>
    </row>
    <row r="28" spans="1:15">
      <c r="A28" s="13">
        <v>203546</v>
      </c>
      <c r="B28" s="13">
        <v>120</v>
      </c>
      <c r="C28" s="13">
        <v>180</v>
      </c>
      <c r="D28" s="13" t="str">
        <f t="shared" si="2"/>
        <v>waiting</v>
      </c>
    </row>
    <row r="29" spans="1:15">
      <c r="A29" s="13">
        <v>778456</v>
      </c>
      <c r="B29" s="13">
        <v>90</v>
      </c>
      <c r="C29" s="13">
        <v>120</v>
      </c>
      <c r="D29" s="13" t="str">
        <f t="shared" si="2"/>
        <v>waiting</v>
      </c>
    </row>
    <row r="30" spans="1:15">
      <c r="A30" s="16"/>
      <c r="B30" s="16"/>
      <c r="C30" s="16"/>
      <c r="D30" s="16"/>
    </row>
    <row r="31" spans="1:15">
      <c r="A31" s="39" t="s">
        <v>312</v>
      </c>
      <c r="B31" s="16"/>
      <c r="C31" s="16"/>
      <c r="D31" s="16"/>
    </row>
    <row r="32" spans="1:15">
      <c r="K32" s="52" t="s">
        <v>295</v>
      </c>
      <c r="L32" s="52" t="s">
        <v>296</v>
      </c>
      <c r="M32" s="49" t="s">
        <v>297</v>
      </c>
      <c r="N32" s="49" t="s">
        <v>298</v>
      </c>
      <c r="O32" s="49" t="s">
        <v>299</v>
      </c>
    </row>
    <row r="33" spans="1:15">
      <c r="A33" s="26" t="s">
        <v>300</v>
      </c>
      <c r="B33" s="26" t="s">
        <v>9</v>
      </c>
      <c r="C33" s="26" t="s">
        <v>10</v>
      </c>
      <c r="D33" s="26" t="s">
        <v>11</v>
      </c>
      <c r="E33" s="26" t="s">
        <v>12</v>
      </c>
      <c r="F33" s="26" t="s">
        <v>13</v>
      </c>
      <c r="G33" s="26" t="s">
        <v>301</v>
      </c>
      <c r="H33" s="26" t="s">
        <v>302</v>
      </c>
      <c r="I33" s="26" t="s">
        <v>303</v>
      </c>
      <c r="J33" s="27" t="s">
        <v>21</v>
      </c>
      <c r="K33" s="52"/>
      <c r="L33" s="52"/>
      <c r="M33" s="50"/>
      <c r="N33" s="50"/>
      <c r="O33" s="50"/>
    </row>
    <row r="34" spans="1:15">
      <c r="A34" s="28">
        <v>1</v>
      </c>
      <c r="B34" s="28" t="s">
        <v>27</v>
      </c>
      <c r="C34" s="28" t="s">
        <v>28</v>
      </c>
      <c r="D34" s="28" t="s">
        <v>29</v>
      </c>
      <c r="E34" s="28" t="s">
        <v>30</v>
      </c>
      <c r="F34" s="29">
        <v>28126</v>
      </c>
      <c r="G34" s="30">
        <v>21875</v>
      </c>
      <c r="H34" s="31"/>
      <c r="I34" s="31"/>
      <c r="J34" s="31"/>
      <c r="K34" s="31"/>
      <c r="L34" s="31"/>
      <c r="M34" s="31"/>
      <c r="N34" s="31"/>
      <c r="O34" s="31"/>
    </row>
    <row r="35" spans="1:15">
      <c r="A35" s="32">
        <v>2</v>
      </c>
      <c r="B35" s="32" t="s">
        <v>32</v>
      </c>
      <c r="C35" s="32" t="s">
        <v>28</v>
      </c>
      <c r="D35" s="32" t="s">
        <v>33</v>
      </c>
      <c r="E35" s="32" t="s">
        <v>34</v>
      </c>
      <c r="F35" s="33">
        <v>28126</v>
      </c>
      <c r="G35" s="34">
        <v>17500</v>
      </c>
      <c r="H35" s="31"/>
      <c r="I35" s="31"/>
      <c r="J35" s="31"/>
      <c r="K35" s="31"/>
      <c r="L35" s="31"/>
      <c r="M35" s="31"/>
      <c r="N35" s="31"/>
      <c r="O35" s="31"/>
    </row>
    <row r="36" spans="1:15">
      <c r="A36" s="32">
        <v>3</v>
      </c>
      <c r="B36" s="32" t="s">
        <v>36</v>
      </c>
      <c r="C36" s="32" t="s">
        <v>37</v>
      </c>
      <c r="D36" s="32" t="s">
        <v>38</v>
      </c>
      <c r="E36" s="32" t="s">
        <v>39</v>
      </c>
      <c r="F36" s="33">
        <v>36220</v>
      </c>
      <c r="G36" s="34">
        <v>7000</v>
      </c>
      <c r="H36" s="31"/>
      <c r="I36" s="31"/>
      <c r="J36" s="31"/>
      <c r="K36" s="31"/>
      <c r="L36" s="31"/>
      <c r="M36" s="31"/>
      <c r="N36" s="31"/>
      <c r="O36" s="31"/>
    </row>
    <row r="37" spans="1:15">
      <c r="A37" s="32">
        <v>4</v>
      </c>
      <c r="B37" s="32" t="s">
        <v>41</v>
      </c>
      <c r="C37" s="32" t="s">
        <v>42</v>
      </c>
      <c r="D37" s="32" t="s">
        <v>29</v>
      </c>
      <c r="E37" s="32" t="s">
        <v>43</v>
      </c>
      <c r="F37" s="33">
        <v>29183</v>
      </c>
      <c r="G37" s="34">
        <v>12250</v>
      </c>
      <c r="H37" s="31"/>
      <c r="I37" s="31"/>
      <c r="J37" s="31"/>
      <c r="K37" s="31"/>
      <c r="L37" s="31"/>
      <c r="M37" s="31"/>
      <c r="N37" s="31"/>
      <c r="O37" s="31"/>
    </row>
    <row r="38" spans="1:15">
      <c r="A38" s="32">
        <v>5</v>
      </c>
      <c r="B38" s="32" t="s">
        <v>45</v>
      </c>
      <c r="C38" s="32" t="s">
        <v>46</v>
      </c>
      <c r="D38" s="32" t="s">
        <v>29</v>
      </c>
      <c r="E38" s="32" t="s">
        <v>47</v>
      </c>
      <c r="F38" s="33">
        <v>32755</v>
      </c>
      <c r="G38" s="34">
        <v>21000</v>
      </c>
      <c r="H38" s="31"/>
      <c r="I38" s="31"/>
      <c r="J38" s="31"/>
      <c r="K38" s="31"/>
      <c r="L38" s="31"/>
      <c r="M38" s="31"/>
      <c r="N38" s="31"/>
      <c r="O38" s="31"/>
    </row>
    <row r="39" spans="1:15">
      <c r="A39" s="32">
        <v>6</v>
      </c>
      <c r="B39" s="32" t="s">
        <v>49</v>
      </c>
      <c r="C39" s="32" t="s">
        <v>46</v>
      </c>
      <c r="D39" s="32" t="s">
        <v>29</v>
      </c>
      <c r="E39" s="28" t="s">
        <v>30</v>
      </c>
      <c r="F39" s="33">
        <v>32390</v>
      </c>
      <c r="G39" s="34">
        <v>12425</v>
      </c>
      <c r="H39" s="31"/>
      <c r="I39" s="31"/>
      <c r="J39" s="31"/>
      <c r="K39" s="31"/>
      <c r="L39" s="31"/>
      <c r="M39" s="31"/>
      <c r="N39" s="31"/>
      <c r="O39" s="31"/>
    </row>
    <row r="40" spans="1:15">
      <c r="A40" s="32">
        <v>7</v>
      </c>
      <c r="B40" s="32" t="s">
        <v>52</v>
      </c>
      <c r="C40" s="32" t="s">
        <v>53</v>
      </c>
      <c r="D40" s="32" t="s">
        <v>54</v>
      </c>
      <c r="E40" s="32" t="s">
        <v>55</v>
      </c>
      <c r="F40" s="33">
        <v>33102</v>
      </c>
      <c r="G40" s="34">
        <v>13825</v>
      </c>
      <c r="H40" s="31"/>
      <c r="I40" s="31"/>
      <c r="J40" s="31"/>
      <c r="K40" s="31"/>
      <c r="L40" s="31"/>
      <c r="M40" s="31"/>
      <c r="N40" s="31"/>
      <c r="O40" s="31"/>
    </row>
    <row r="41" spans="1:15">
      <c r="A41" s="32">
        <v>8</v>
      </c>
      <c r="B41" s="32" t="s">
        <v>57</v>
      </c>
      <c r="C41" s="32" t="s">
        <v>46</v>
      </c>
      <c r="D41" s="32" t="s">
        <v>29</v>
      </c>
      <c r="E41" s="32" t="s">
        <v>58</v>
      </c>
      <c r="F41" s="33">
        <v>32755</v>
      </c>
      <c r="G41" s="34">
        <v>12425</v>
      </c>
      <c r="H41" s="31"/>
      <c r="I41" s="31"/>
      <c r="J41" s="31"/>
      <c r="K41" s="31"/>
      <c r="L41" s="31"/>
      <c r="M41" s="31"/>
      <c r="N41" s="31"/>
      <c r="O41" s="31"/>
    </row>
    <row r="42" spans="1:15">
      <c r="A42" s="32">
        <v>9</v>
      </c>
      <c r="B42" s="32" t="s">
        <v>60</v>
      </c>
      <c r="C42" s="32" t="s">
        <v>28</v>
      </c>
      <c r="D42" s="32" t="s">
        <v>29</v>
      </c>
      <c r="E42" s="32" t="s">
        <v>61</v>
      </c>
      <c r="F42" s="33">
        <v>36506</v>
      </c>
      <c r="G42" s="34">
        <v>14875</v>
      </c>
      <c r="H42" s="31"/>
      <c r="I42" s="31"/>
      <c r="J42" s="31"/>
      <c r="K42" s="31"/>
      <c r="L42" s="31"/>
      <c r="M42" s="31"/>
      <c r="N42" s="31"/>
      <c r="O42" s="31"/>
    </row>
    <row r="43" spans="1:15">
      <c r="A43" s="32">
        <v>10</v>
      </c>
      <c r="B43" s="32" t="s">
        <v>63</v>
      </c>
      <c r="C43" s="32" t="s">
        <v>42</v>
      </c>
      <c r="D43" s="32" t="s">
        <v>33</v>
      </c>
      <c r="E43" s="32" t="s">
        <v>64</v>
      </c>
      <c r="F43" s="33">
        <v>28326</v>
      </c>
      <c r="G43" s="34">
        <v>15750</v>
      </c>
      <c r="H43" s="31"/>
      <c r="I43" s="31"/>
      <c r="J43" s="31"/>
      <c r="K43" s="31"/>
      <c r="L43" s="31"/>
      <c r="M43" s="31"/>
      <c r="N43" s="31"/>
      <c r="O43" s="31"/>
    </row>
    <row r="44" spans="1:15">
      <c r="A44" s="32">
        <v>11</v>
      </c>
      <c r="B44" s="32" t="s">
        <v>66</v>
      </c>
      <c r="C44" s="32" t="s">
        <v>67</v>
      </c>
      <c r="D44" s="32" t="s">
        <v>54</v>
      </c>
      <c r="E44" s="32" t="s">
        <v>55</v>
      </c>
      <c r="F44" s="33">
        <v>31402</v>
      </c>
      <c r="G44" s="34">
        <v>14875</v>
      </c>
      <c r="H44" s="31"/>
      <c r="I44" s="31"/>
      <c r="J44" s="31"/>
      <c r="K44" s="31"/>
      <c r="L44" s="31"/>
      <c r="M44" s="31"/>
      <c r="N44" s="31"/>
      <c r="O44" s="31"/>
    </row>
    <row r="46" spans="1:15">
      <c r="A46" s="35" t="s">
        <v>266</v>
      </c>
      <c r="B46" s="24"/>
    </row>
    <row r="47" spans="1:15">
      <c r="A47" s="36">
        <v>1</v>
      </c>
      <c r="B47" s="37" t="s">
        <v>304</v>
      </c>
      <c r="C47" s="37"/>
      <c r="D47" s="37"/>
    </row>
    <row r="48" spans="1:15">
      <c r="A48" s="36">
        <v>2</v>
      </c>
      <c r="B48" s="37" t="s">
        <v>305</v>
      </c>
      <c r="C48" s="37"/>
      <c r="D48" s="37"/>
    </row>
    <row r="49" spans="1:8">
      <c r="A49" s="36">
        <v>3</v>
      </c>
      <c r="B49" s="38" t="s">
        <v>306</v>
      </c>
      <c r="C49" s="38"/>
      <c r="D49" s="38"/>
      <c r="E49" s="38"/>
      <c r="F49" s="37"/>
      <c r="G49" s="37"/>
      <c r="H49" s="37"/>
    </row>
    <row r="50" spans="1:8">
      <c r="A50" s="36">
        <v>4</v>
      </c>
      <c r="B50" s="37" t="s">
        <v>307</v>
      </c>
      <c r="C50" s="37"/>
      <c r="D50" s="37"/>
      <c r="E50" s="37"/>
      <c r="F50" s="37"/>
      <c r="G50" s="37"/>
      <c r="H50" s="37"/>
    </row>
    <row r="51" spans="1:8">
      <c r="A51" s="36">
        <v>5</v>
      </c>
      <c r="B51" s="37" t="s">
        <v>308</v>
      </c>
      <c r="C51" s="37"/>
      <c r="D51" s="37"/>
      <c r="E51" s="37"/>
      <c r="F51" s="37"/>
      <c r="G51" s="37"/>
      <c r="H51" s="37"/>
    </row>
    <row r="52" spans="1:8">
      <c r="A52" s="36">
        <v>6</v>
      </c>
      <c r="B52" s="37" t="s">
        <v>309</v>
      </c>
      <c r="C52" s="37"/>
      <c r="D52" s="37"/>
      <c r="E52" s="37"/>
      <c r="F52" s="37"/>
      <c r="G52" s="37"/>
      <c r="H52" s="37"/>
    </row>
    <row r="53" spans="1:8">
      <c r="A53" s="36">
        <v>7</v>
      </c>
      <c r="B53" s="37" t="s">
        <v>310</v>
      </c>
    </row>
    <row r="54" spans="1:8">
      <c r="A54" s="36">
        <v>8</v>
      </c>
      <c r="B54" s="37" t="s">
        <v>311</v>
      </c>
    </row>
    <row r="56" spans="1:8">
      <c r="A56" s="40" t="s">
        <v>313</v>
      </c>
    </row>
    <row r="57" spans="1:8">
      <c r="A57" s="41" t="s">
        <v>258</v>
      </c>
      <c r="B57" s="41">
        <v>10</v>
      </c>
      <c r="D57" t="s">
        <v>322</v>
      </c>
      <c r="E57" t="s">
        <v>323</v>
      </c>
    </row>
    <row r="58" spans="1:8">
      <c r="A58" s="41" t="s">
        <v>259</v>
      </c>
      <c r="B58" s="41">
        <v>0</v>
      </c>
      <c r="D58">
        <v>50</v>
      </c>
      <c r="E58" t="s">
        <v>324</v>
      </c>
    </row>
    <row r="59" spans="1:8">
      <c r="A59" s="36"/>
      <c r="B59" s="36"/>
      <c r="E59" t="e">
        <f>D58*E58</f>
        <v>#VALUE!</v>
      </c>
    </row>
    <row r="60" spans="1:8">
      <c r="A60" s="42" t="s">
        <v>314</v>
      </c>
      <c r="B60" s="41"/>
      <c r="C60" t="e">
        <f>B57/B58</f>
        <v>#DIV/0!</v>
      </c>
      <c r="E60" t="str">
        <f>IFERROR(D58*E58,"Invaild input")</f>
        <v>Invaild input</v>
      </c>
    </row>
    <row r="61" spans="1:8" ht="30.75">
      <c r="A61" s="42" t="s">
        <v>315</v>
      </c>
      <c r="B61" s="43" t="str">
        <f>IFERROR(B57/B58,"Check imput")</f>
        <v>Check imput</v>
      </c>
    </row>
  </sheetData>
  <mergeCells count="8">
    <mergeCell ref="M32:M33"/>
    <mergeCell ref="N32:N33"/>
    <mergeCell ref="O32:O33"/>
    <mergeCell ref="A20:B20"/>
    <mergeCell ref="A21:B21"/>
    <mergeCell ref="A22:B22"/>
    <mergeCell ref="K32:K33"/>
    <mergeCell ref="L32:L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</vt:lpstr>
      <vt:lpstr>Practice</vt:lpstr>
      <vt:lpstr>IF AND OR</vt:lpstr>
      <vt:lpstr>Nested 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Satej Bhogate</cp:lastModifiedBy>
  <dcterms:created xsi:type="dcterms:W3CDTF">2023-03-30T06:07:34Z</dcterms:created>
  <dcterms:modified xsi:type="dcterms:W3CDTF">2025-08-06T06:39:27Z</dcterms:modified>
</cp:coreProperties>
</file>