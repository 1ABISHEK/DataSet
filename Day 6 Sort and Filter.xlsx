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A435A4B8-C36B-45BD-964A-51FA818C08D3}" xr6:coauthVersionLast="47" xr6:coauthVersionMax="47" xr10:uidLastSave="{00000000-0000-0000-0000-000000000000}"/>
  <bookViews>
    <workbookView xWindow="-120" yWindow="-120" windowWidth="20730" windowHeight="11040" activeTab="5" xr2:uid="{D19CBA54-74C2-43D5-AF79-5E5C51B3BED5}"/>
  </bookViews>
  <sheets>
    <sheet name="Task" sheetId="1" r:id="rId1"/>
    <sheet name="Filter" sheetId="6" r:id="rId2"/>
    <sheet name="Sheet1" sheetId="7" r:id="rId3"/>
    <sheet name="Table Formatting" sheetId="2" r:id="rId4"/>
    <sheet name="Advance Filter" sheetId="3" r:id="rId5"/>
    <sheet name="Filter Function" sheetId="4" r:id="rId6"/>
    <sheet name="Sort" sheetId="5" r:id="rId7"/>
  </sheets>
  <definedNames>
    <definedName name="_xlnm._FilterDatabase" localSheetId="4" hidden="1">'Advance Filter'!$A$2:$H$25</definedName>
    <definedName name="_xlnm._FilterDatabase" localSheetId="1" hidden="1">Filter!$A$11:$H$34</definedName>
    <definedName name="_xlnm._FilterDatabase" localSheetId="6" hidden="1">Sort!$A$1:$H$11</definedName>
    <definedName name="_xlnm.Criteria" localSheetId="4">'Advance Filter'!$A$52:$A$53</definedName>
    <definedName name="_xlnm.Extract" localSheetId="4">'Advance Filter'!$G$50:$N$50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 a="1"/>
  <c r="J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<sst xmlns="http://schemas.openxmlformats.org/spreadsheetml/2006/main" count="1275" uniqueCount="170">
  <si>
    <t>Questions</t>
  </si>
  <si>
    <t>Sort Region, then SalesRep then Customer'</t>
  </si>
  <si>
    <t>1. Filter Product-Chardonnay, sold in North</t>
  </si>
  <si>
    <t>2. Filter Sales of Frank Salesrep with Sales greater than 500</t>
  </si>
  <si>
    <t>3. Filter all orders from month October(all years)</t>
  </si>
  <si>
    <t>DATA</t>
  </si>
  <si>
    <t>Order Date</t>
  </si>
  <si>
    <t>Product</t>
  </si>
  <si>
    <t>Region</t>
  </si>
  <si>
    <t>SalesRep</t>
  </si>
  <si>
    <t>Customer</t>
  </si>
  <si>
    <t>Order Quantity</t>
  </si>
  <si>
    <t>Sales</t>
  </si>
  <si>
    <t>COGS</t>
  </si>
  <si>
    <t>Reisling</t>
  </si>
  <si>
    <t>South</t>
  </si>
  <si>
    <t>Wilbur</t>
  </si>
  <si>
    <t>YTR</t>
  </si>
  <si>
    <t>Chardonnay</t>
  </si>
  <si>
    <t>East</t>
  </si>
  <si>
    <t>Sean</t>
  </si>
  <si>
    <t>PCC</t>
  </si>
  <si>
    <t>Pam</t>
  </si>
  <si>
    <t>FRED</t>
  </si>
  <si>
    <t>LOP</t>
  </si>
  <si>
    <t>Sauvignon Blanc</t>
  </si>
  <si>
    <t>Pinot Gris</t>
  </si>
  <si>
    <t>Gerald</t>
  </si>
  <si>
    <t>DFGH</t>
  </si>
  <si>
    <t>North</t>
  </si>
  <si>
    <t>FM</t>
  </si>
  <si>
    <t>West</t>
  </si>
  <si>
    <t>Kayen</t>
  </si>
  <si>
    <t>WT</t>
  </si>
  <si>
    <t>AA</t>
  </si>
  <si>
    <t>DFR</t>
  </si>
  <si>
    <t>TTT</t>
  </si>
  <si>
    <t>Franks</t>
  </si>
  <si>
    <t>ET</t>
  </si>
  <si>
    <t>PSA</t>
  </si>
  <si>
    <t>ITW</t>
  </si>
  <si>
    <t>WSD</t>
  </si>
  <si>
    <t>EPP</t>
  </si>
  <si>
    <t>BBT</t>
  </si>
  <si>
    <t>T</t>
  </si>
  <si>
    <t>JAQ</t>
  </si>
  <si>
    <t>MNGD</t>
  </si>
  <si>
    <t>KBTB</t>
  </si>
  <si>
    <t>HII</t>
  </si>
  <si>
    <t>KPSA</t>
  </si>
  <si>
    <t>HHH</t>
  </si>
  <si>
    <t>AST</t>
  </si>
  <si>
    <t>ZAT</t>
  </si>
  <si>
    <t>QT</t>
  </si>
  <si>
    <t>TRU</t>
  </si>
  <si>
    <t>SFWK</t>
  </si>
  <si>
    <t>PLOT</t>
  </si>
  <si>
    <t>ITTW</t>
  </si>
  <si>
    <t>MBG</t>
  </si>
  <si>
    <t>Data</t>
  </si>
  <si>
    <t xml:space="preserve">FNAME </t>
  </si>
  <si>
    <t xml:space="preserve">LNAME </t>
  </si>
  <si>
    <t>EmplCode</t>
  </si>
  <si>
    <t xml:space="preserve">POSITION </t>
  </si>
  <si>
    <t>DEPT</t>
  </si>
  <si>
    <t>SECTION</t>
  </si>
  <si>
    <t>DOB</t>
  </si>
  <si>
    <t>BASIC</t>
  </si>
  <si>
    <t>Deepak</t>
  </si>
  <si>
    <t>Kumar</t>
  </si>
  <si>
    <t>BBSOLA</t>
  </si>
  <si>
    <t>Manager</t>
  </si>
  <si>
    <t>HRM</t>
  </si>
  <si>
    <t>PAYROLL</t>
  </si>
  <si>
    <t>Table Formatting</t>
  </si>
  <si>
    <t>Motilal</t>
  </si>
  <si>
    <t>Sahoo</t>
  </si>
  <si>
    <t>BBMOLS</t>
  </si>
  <si>
    <t>Officer</t>
  </si>
  <si>
    <t>ADMIN</t>
  </si>
  <si>
    <t>Convert data to table</t>
  </si>
  <si>
    <t xml:space="preserve">Rohit </t>
  </si>
  <si>
    <t>ABLOLA</t>
  </si>
  <si>
    <t>AsstMgr</t>
  </si>
  <si>
    <t>Number Formatting</t>
  </si>
  <si>
    <t>Rang Nath</t>
  </si>
  <si>
    <t>Dubey</t>
  </si>
  <si>
    <t>ITS</t>
  </si>
  <si>
    <t>Remove Duplicates</t>
  </si>
  <si>
    <t>Suresh</t>
  </si>
  <si>
    <t>Prasad</t>
  </si>
  <si>
    <t>JO5756</t>
  </si>
  <si>
    <t>Manish</t>
  </si>
  <si>
    <t>NOA756</t>
  </si>
  <si>
    <t>Arun</t>
  </si>
  <si>
    <t>Mathur</t>
  </si>
  <si>
    <t>H45675</t>
  </si>
  <si>
    <t>Somendu</t>
  </si>
  <si>
    <t>Sanyal</t>
  </si>
  <si>
    <t>G48756</t>
  </si>
  <si>
    <t>NETWORKING</t>
  </si>
  <si>
    <t>Harharan</t>
  </si>
  <si>
    <t>WB6785</t>
  </si>
  <si>
    <t>DATABASE SECURITY</t>
  </si>
  <si>
    <t>Mamta</t>
  </si>
  <si>
    <t>Rakesh Kumar</t>
  </si>
  <si>
    <t>Ojha</t>
  </si>
  <si>
    <t>Head</t>
  </si>
  <si>
    <t>B. Srinivas</t>
  </si>
  <si>
    <t>Rao</t>
  </si>
  <si>
    <t>OA1298</t>
  </si>
  <si>
    <t>LD3</t>
  </si>
  <si>
    <t>Anjay</t>
  </si>
  <si>
    <t>OA1378</t>
  </si>
  <si>
    <t>Gopal</t>
  </si>
  <si>
    <t>Chandra</t>
  </si>
  <si>
    <t>BBTOPS</t>
  </si>
  <si>
    <t>Elect. Maint.</t>
  </si>
  <si>
    <t>Bachchan</t>
  </si>
  <si>
    <t>Sharma</t>
  </si>
  <si>
    <t>Jha</t>
  </si>
  <si>
    <t>Mech. Maint.</t>
  </si>
  <si>
    <t>Arun Kumar</t>
  </si>
  <si>
    <t>Singh</t>
  </si>
  <si>
    <t>SNTI</t>
  </si>
  <si>
    <t>Sarvesh</t>
  </si>
  <si>
    <t>Khanna</t>
  </si>
  <si>
    <t>Karishma</t>
  </si>
  <si>
    <t>Kumari</t>
  </si>
  <si>
    <t>ITA</t>
  </si>
  <si>
    <t>Lalit</t>
  </si>
  <si>
    <t>Srinivas</t>
  </si>
  <si>
    <t>Mechanical</t>
  </si>
  <si>
    <t>Jitendra</t>
  </si>
  <si>
    <t>Pathak</t>
  </si>
  <si>
    <t>Electrical</t>
  </si>
  <si>
    <t>Biswajit</t>
  </si>
  <si>
    <t>Narayan</t>
  </si>
  <si>
    <t>BBAERO</t>
  </si>
  <si>
    <t>Total</t>
  </si>
  <si>
    <t>Filter the List of Employees  from ITS Dept.</t>
  </si>
  <si>
    <t>Section</t>
  </si>
  <si>
    <t>Admin</t>
  </si>
  <si>
    <t>Filter the List of Employees  from ITS Dept., Admin Section and Salary more than 50000</t>
  </si>
  <si>
    <t xml:space="preserve">Note : </t>
  </si>
  <si>
    <t>Only Available in office2021</t>
  </si>
  <si>
    <t>Question</t>
  </si>
  <si>
    <t>Sort ascending/descending wrt sales</t>
  </si>
  <si>
    <t>Sort ascending/descending wrt order date</t>
  </si>
  <si>
    <t>Sort ascending/descending wrt Region</t>
  </si>
  <si>
    <t>Sort wrt to Region in ascending then SalesRep ascending</t>
  </si>
  <si>
    <t>Sort wrt colour in customer</t>
  </si>
  <si>
    <t>Filter the List of Employees of SNTI Dept. who belong to Mechanical Section.</t>
  </si>
  <si>
    <t>Filter the List of AsstMgrs from ITS Dept. who belongs to ADMIN Section.</t>
  </si>
  <si>
    <t>Filter all Managers from the database Who earn more than 50,000</t>
  </si>
  <si>
    <t>Filter all employees from the database who are either Manager or Officer.</t>
  </si>
  <si>
    <t>Filter all the employees whose name either begins with letter A or B.</t>
  </si>
  <si>
    <t>Filter all the employees born in the month of March.</t>
  </si>
  <si>
    <t>Filter all the employees whose employee code contains either digit 5 or letter A.</t>
  </si>
  <si>
    <t xml:space="preserve">Question 1 </t>
  </si>
  <si>
    <t>Question 2</t>
  </si>
  <si>
    <t xml:space="preserve">Question 3 </t>
  </si>
  <si>
    <r>
      <t xml:space="preserve">Filter the List of Employees  from ITS </t>
    </r>
    <r>
      <rPr>
        <b/>
        <sz val="14"/>
        <color theme="1"/>
        <rFont val="Calisto MT"/>
        <family val="1"/>
      </rPr>
      <t xml:space="preserve">OR </t>
    </r>
    <r>
      <rPr>
        <sz val="14"/>
        <color theme="1"/>
        <rFont val="Calisto MT"/>
        <family val="1"/>
      </rPr>
      <t>HRM Department.</t>
    </r>
  </si>
  <si>
    <r>
      <t xml:space="preserve">Filter the List of Employees  from ITS department </t>
    </r>
    <r>
      <rPr>
        <b/>
        <sz val="14"/>
        <color theme="1"/>
        <rFont val="Calisto MT"/>
        <family val="1"/>
      </rPr>
      <t>AND</t>
    </r>
    <r>
      <rPr>
        <sz val="14"/>
        <color theme="1"/>
        <rFont val="Calisto MT"/>
        <family val="2"/>
      </rPr>
      <t xml:space="preserve"> Admin Section</t>
    </r>
  </si>
  <si>
    <t>Question 4</t>
  </si>
  <si>
    <t>DOJ</t>
  </si>
  <si>
    <t>Filter the List of Employees  who joined after 01-01-2023</t>
  </si>
  <si>
    <t>&gt;01-01-2023</t>
  </si>
  <si>
    <t>After sorting Filter the following conditions and copy paste report on new sheet in same workbook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</si>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</sst>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₹&quot;\ #,##0"/>
  </numFmts>
  <fonts count="14" x14ac:knownFonts="1">
    <font>
      <sz val="11"/>
      <color theme="1"/>
      <name val="Calibri"/>
      <family val="2"/>
      <scheme val="minor"/>
    </font>
    <font>
      <b/>
      <sz val="14"/>
      <color rgb="FF000000"/>
      <name val="Calisto MT"/>
      <family val="1"/>
    </font>
    <font>
      <sz val="14"/>
      <color theme="1"/>
      <name val="Calisto MT"/>
      <family val="2"/>
    </font>
    <font>
      <sz val="12"/>
      <color rgb="FF000000"/>
      <name val="Calisto MT"/>
      <family val="2"/>
    </font>
    <font>
      <b/>
      <sz val="12"/>
      <color rgb="FF000000"/>
      <name val="Calisto MT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sto MT"/>
      <family val="2"/>
    </font>
    <font>
      <b/>
      <sz val="14"/>
      <color theme="1"/>
      <name val="Calisto MT"/>
      <family val="1"/>
    </font>
    <font>
      <sz val="14"/>
      <color theme="1"/>
      <name val="Calisto MT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/>
    <xf numFmtId="14" fontId="6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8" fontId="6" fillId="0" borderId="1" xfId="0" applyNumberFormat="1" applyFont="1" applyBorder="1"/>
    <xf numFmtId="0" fontId="7" fillId="2" borderId="0" xfId="0" applyFont="1" applyFill="1"/>
    <xf numFmtId="0" fontId="8" fillId="0" borderId="0" xfId="0" applyFont="1"/>
    <xf numFmtId="0" fontId="9" fillId="2" borderId="0" xfId="0" applyFont="1" applyFill="1"/>
    <xf numFmtId="0" fontId="2" fillId="4" borderId="1" xfId="0" applyFont="1" applyFill="1" applyBorder="1"/>
    <xf numFmtId="14" fontId="2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4" fontId="2" fillId="0" borderId="0" xfId="0" applyNumberFormat="1" applyFont="1"/>
    <xf numFmtId="164" fontId="2" fillId="0" borderId="0" xfId="0" applyNumberFormat="1" applyFont="1"/>
    <xf numFmtId="0" fontId="2" fillId="5" borderId="1" xfId="0" applyFont="1" applyFill="1" applyBorder="1"/>
    <xf numFmtId="0" fontId="1" fillId="6" borderId="0" xfId="0" applyFont="1" applyFill="1"/>
    <xf numFmtId="0" fontId="2" fillId="7" borderId="1" xfId="0" applyFont="1" applyFill="1" applyBorder="1"/>
    <xf numFmtId="14" fontId="2" fillId="7" borderId="1" xfId="0" applyNumberFormat="1" applyFont="1" applyFill="1" applyBorder="1"/>
    <xf numFmtId="164" fontId="2" fillId="7" borderId="1" xfId="0" applyNumberFormat="1" applyFont="1" applyFill="1" applyBorder="1"/>
    <xf numFmtId="0" fontId="10" fillId="2" borderId="0" xfId="0" applyFont="1" applyFill="1"/>
    <xf numFmtId="0" fontId="6" fillId="8" borderId="1" xfId="0" applyFont="1" applyFill="1" applyBorder="1"/>
    <xf numFmtId="0" fontId="6" fillId="9" borderId="1" xfId="0" applyFont="1" applyFill="1" applyBorder="1"/>
    <xf numFmtId="0" fontId="6" fillId="10" borderId="1" xfId="0" applyFont="1" applyFill="1" applyBorder="1"/>
    <xf numFmtId="0" fontId="2" fillId="2" borderId="0" xfId="0" applyFont="1" applyFill="1"/>
    <xf numFmtId="0" fontId="2" fillId="0" borderId="4" xfId="0" applyFont="1" applyBorder="1"/>
    <xf numFmtId="15" fontId="2" fillId="0" borderId="4" xfId="0" applyNumberFormat="1" applyFont="1" applyBorder="1"/>
    <xf numFmtId="0" fontId="2" fillId="0" borderId="3" xfId="0" applyFont="1" applyBorder="1"/>
    <xf numFmtId="0" fontId="2" fillId="0" borderId="2" xfId="0" applyFont="1" applyBorder="1"/>
    <xf numFmtId="15" fontId="2" fillId="0" borderId="2" xfId="0" applyNumberFormat="1" applyFont="1" applyBorder="1"/>
    <xf numFmtId="0" fontId="11" fillId="0" borderId="4" xfId="0" applyFont="1" applyBorder="1"/>
    <xf numFmtId="0" fontId="11" fillId="0" borderId="3" xfId="0" applyFont="1" applyBorder="1"/>
    <xf numFmtId="0" fontId="12" fillId="11" borderId="0" xfId="0" applyFont="1" applyFill="1"/>
    <xf numFmtId="0" fontId="2" fillId="0" borderId="0" xfId="0" applyFont="1" applyBorder="1"/>
  </cellXfs>
  <cellStyles count="1">
    <cellStyle name="Normal" xfId="0" builtinId="0"/>
  </cellStyles>
  <dxfs count="3">
    <dxf>
      <fill>
        <patternFill patternType="solid">
          <fgColor rgb="FF8EA9D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A438-E108-401F-9C3F-A755B8E80184}">
  <dimension ref="A1:H114"/>
  <sheetViews>
    <sheetView topLeftCell="A16" zoomScale="145" zoomScaleNormal="145" workbookViewId="0">
      <selection activeCell="A3" sqref="A3"/>
    </sheetView>
  </sheetViews>
  <sheetFormatPr defaultColWidth="38.28515625" defaultRowHeight="18" x14ac:dyDescent="0.25"/>
  <cols>
    <col min="1" max="1" width="16.28515625" style="2" customWidth="1"/>
    <col min="2" max="2" width="13.85546875" style="2" customWidth="1"/>
    <col min="3" max="3" width="6.85546875" style="2" bestFit="1" customWidth="1"/>
    <col min="4" max="4" width="8.7109375" style="2" bestFit="1" customWidth="1"/>
    <col min="5" max="5" width="9.28515625" style="2" bestFit="1" customWidth="1"/>
    <col min="6" max="6" width="14" style="2" bestFit="1" customWidth="1"/>
    <col min="7" max="7" width="10.140625" style="2" bestFit="1" customWidth="1"/>
    <col min="8" max="8" width="8.42578125" style="2" bestFit="1" customWidth="1"/>
    <col min="9" max="16384" width="38.28515625" style="2"/>
  </cols>
  <sheetData>
    <row r="1" spans="1:8" x14ac:dyDescent="0.25">
      <c r="A1" s="1" t="s">
        <v>0</v>
      </c>
    </row>
    <row r="2" spans="1:8" x14ac:dyDescent="0.25">
      <c r="A2" s="3" t="s">
        <v>1</v>
      </c>
    </row>
    <row r="3" spans="1:8" x14ac:dyDescent="0.25">
      <c r="A3" s="3" t="s">
        <v>168</v>
      </c>
    </row>
    <row r="4" spans="1:8" x14ac:dyDescent="0.25">
      <c r="A4" s="3" t="s">
        <v>2</v>
      </c>
    </row>
    <row r="5" spans="1:8" x14ac:dyDescent="0.25">
      <c r="A5" s="3" t="s">
        <v>3</v>
      </c>
    </row>
    <row r="6" spans="1:8" x14ac:dyDescent="0.25">
      <c r="A6" s="3" t="s">
        <v>4</v>
      </c>
    </row>
    <row r="7" spans="1:8" x14ac:dyDescent="0.25">
      <c r="A7" s="3"/>
    </row>
    <row r="8" spans="1:8" x14ac:dyDescent="0.25">
      <c r="A8" s="4" t="s">
        <v>5</v>
      </c>
    </row>
    <row r="9" spans="1:8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</row>
    <row r="10" spans="1:8" x14ac:dyDescent="0.25">
      <c r="A10" s="6">
        <v>41628</v>
      </c>
      <c r="B10" s="7" t="s">
        <v>14</v>
      </c>
      <c r="C10" s="8" t="s">
        <v>15</v>
      </c>
      <c r="D10" s="8" t="s">
        <v>16</v>
      </c>
      <c r="E10" s="8" t="s">
        <v>17</v>
      </c>
      <c r="F10" s="8">
        <v>53</v>
      </c>
      <c r="G10" s="9">
        <v>1219.7</v>
      </c>
      <c r="H10" s="9">
        <v>583.67999999999995</v>
      </c>
    </row>
    <row r="11" spans="1:8" x14ac:dyDescent="0.25">
      <c r="A11" s="6">
        <v>41619</v>
      </c>
      <c r="B11" s="7" t="s">
        <v>18</v>
      </c>
      <c r="C11" s="8" t="s">
        <v>19</v>
      </c>
      <c r="D11" s="8" t="s">
        <v>20</v>
      </c>
      <c r="E11" s="8" t="s">
        <v>21</v>
      </c>
      <c r="F11" s="8">
        <v>6</v>
      </c>
      <c r="G11" s="9">
        <v>114.53</v>
      </c>
      <c r="H11" s="9">
        <v>48.26</v>
      </c>
    </row>
    <row r="12" spans="1:8" x14ac:dyDescent="0.25">
      <c r="A12" s="6">
        <v>41598</v>
      </c>
      <c r="B12" s="7" t="s">
        <v>18</v>
      </c>
      <c r="C12" s="8" t="s">
        <v>15</v>
      </c>
      <c r="D12" s="8" t="s">
        <v>22</v>
      </c>
      <c r="E12" s="8" t="s">
        <v>23</v>
      </c>
      <c r="F12" s="8">
        <v>61</v>
      </c>
      <c r="G12" s="9">
        <v>5000.6000000000004</v>
      </c>
      <c r="H12" s="9">
        <v>610.16</v>
      </c>
    </row>
    <row r="13" spans="1:8" x14ac:dyDescent="0.25">
      <c r="A13" s="6">
        <v>41591</v>
      </c>
      <c r="B13" s="7" t="s">
        <v>14</v>
      </c>
      <c r="C13" s="8" t="s">
        <v>15</v>
      </c>
      <c r="D13" s="8" t="s">
        <v>16</v>
      </c>
      <c r="E13" s="8" t="s">
        <v>24</v>
      </c>
      <c r="F13" s="8">
        <v>15</v>
      </c>
      <c r="G13" s="9">
        <v>345.88</v>
      </c>
      <c r="H13" s="9">
        <v>165.74</v>
      </c>
    </row>
    <row r="14" spans="1:8" x14ac:dyDescent="0.25">
      <c r="A14" s="6">
        <v>41588</v>
      </c>
      <c r="B14" s="7" t="s">
        <v>25</v>
      </c>
      <c r="C14" s="8" t="s">
        <v>15</v>
      </c>
      <c r="D14" s="8" t="s">
        <v>20</v>
      </c>
      <c r="E14" s="8" t="s">
        <v>21</v>
      </c>
      <c r="F14" s="8">
        <v>39</v>
      </c>
      <c r="G14" s="9">
        <v>897.63</v>
      </c>
      <c r="H14" s="9">
        <v>429.68</v>
      </c>
    </row>
    <row r="15" spans="1:8" x14ac:dyDescent="0.25">
      <c r="A15" s="6">
        <v>41581</v>
      </c>
      <c r="B15" s="7" t="s">
        <v>26</v>
      </c>
      <c r="C15" s="8" t="s">
        <v>15</v>
      </c>
      <c r="D15" s="8" t="s">
        <v>27</v>
      </c>
      <c r="E15" s="8" t="s">
        <v>28</v>
      </c>
      <c r="F15" s="8">
        <v>9</v>
      </c>
      <c r="G15" s="9">
        <v>198.06</v>
      </c>
      <c r="H15" s="9">
        <v>90.45</v>
      </c>
    </row>
    <row r="16" spans="1:8" x14ac:dyDescent="0.25">
      <c r="A16" s="6">
        <v>41577</v>
      </c>
      <c r="B16" s="7" t="s">
        <v>14</v>
      </c>
      <c r="C16" s="8" t="s">
        <v>29</v>
      </c>
      <c r="D16" s="8" t="s">
        <v>20</v>
      </c>
      <c r="E16" s="8" t="s">
        <v>21</v>
      </c>
      <c r="F16" s="8">
        <v>64</v>
      </c>
      <c r="G16" s="9">
        <v>1728.81</v>
      </c>
      <c r="H16" s="9">
        <v>928.38</v>
      </c>
    </row>
    <row r="17" spans="1:8" x14ac:dyDescent="0.25">
      <c r="A17" s="6">
        <v>41577</v>
      </c>
      <c r="B17" s="7" t="s">
        <v>14</v>
      </c>
      <c r="C17" s="8" t="s">
        <v>19</v>
      </c>
      <c r="D17" s="8" t="s">
        <v>22</v>
      </c>
      <c r="E17" s="8" t="s">
        <v>30</v>
      </c>
      <c r="F17" s="8">
        <v>38</v>
      </c>
      <c r="G17" s="9">
        <v>722.22</v>
      </c>
      <c r="H17" s="9">
        <v>304.06</v>
      </c>
    </row>
    <row r="18" spans="1:8" x14ac:dyDescent="0.25">
      <c r="A18" s="6">
        <v>41562</v>
      </c>
      <c r="B18" s="7" t="s">
        <v>26</v>
      </c>
      <c r="C18" s="8" t="s">
        <v>31</v>
      </c>
      <c r="D18" s="8" t="s">
        <v>32</v>
      </c>
      <c r="E18" s="8" t="s">
        <v>33</v>
      </c>
      <c r="F18" s="8">
        <v>7</v>
      </c>
      <c r="G18" s="9">
        <v>154.94999999999999</v>
      </c>
      <c r="H18" s="9">
        <v>70.62</v>
      </c>
    </row>
    <row r="19" spans="1:8" x14ac:dyDescent="0.25">
      <c r="A19" s="6">
        <v>41548</v>
      </c>
      <c r="B19" s="7" t="s">
        <v>25</v>
      </c>
      <c r="C19" s="8" t="s">
        <v>19</v>
      </c>
      <c r="D19" s="8" t="s">
        <v>20</v>
      </c>
      <c r="E19" s="8" t="s">
        <v>34</v>
      </c>
      <c r="F19" s="8">
        <v>16</v>
      </c>
      <c r="G19" s="9">
        <v>1432.17</v>
      </c>
      <c r="H19" s="9">
        <v>232.99</v>
      </c>
    </row>
    <row r="20" spans="1:8" x14ac:dyDescent="0.25">
      <c r="A20" s="6">
        <v>41542</v>
      </c>
      <c r="B20" s="7" t="s">
        <v>14</v>
      </c>
      <c r="C20" s="8" t="s">
        <v>15</v>
      </c>
      <c r="D20" s="8" t="s">
        <v>27</v>
      </c>
      <c r="E20" s="8" t="s">
        <v>35</v>
      </c>
      <c r="F20" s="8">
        <v>49</v>
      </c>
      <c r="G20" s="9">
        <v>931.49</v>
      </c>
      <c r="H20" s="9">
        <v>392.84</v>
      </c>
    </row>
    <row r="21" spans="1:8" x14ac:dyDescent="0.25">
      <c r="A21" s="6">
        <v>41526</v>
      </c>
      <c r="B21" s="7" t="s">
        <v>18</v>
      </c>
      <c r="C21" s="8" t="s">
        <v>15</v>
      </c>
      <c r="D21" s="8" t="s">
        <v>20</v>
      </c>
      <c r="E21" s="8" t="s">
        <v>36</v>
      </c>
      <c r="F21" s="8">
        <v>23</v>
      </c>
      <c r="G21" s="9">
        <v>437.81</v>
      </c>
      <c r="H21" s="9">
        <v>184.16</v>
      </c>
    </row>
    <row r="22" spans="1:8" x14ac:dyDescent="0.25">
      <c r="A22" s="6">
        <v>41524</v>
      </c>
      <c r="B22" s="7" t="s">
        <v>14</v>
      </c>
      <c r="C22" s="8" t="s">
        <v>29</v>
      </c>
      <c r="D22" s="8" t="s">
        <v>37</v>
      </c>
      <c r="E22" s="8" t="s">
        <v>38</v>
      </c>
      <c r="F22" s="8">
        <v>12</v>
      </c>
      <c r="G22" s="9">
        <v>228.89</v>
      </c>
      <c r="H22" s="9">
        <v>96.02</v>
      </c>
    </row>
    <row r="23" spans="1:8" x14ac:dyDescent="0.25">
      <c r="A23" s="6">
        <v>41519</v>
      </c>
      <c r="B23" s="7" t="s">
        <v>26</v>
      </c>
      <c r="C23" s="8" t="s">
        <v>15</v>
      </c>
      <c r="D23" s="8" t="s">
        <v>27</v>
      </c>
      <c r="E23" s="8" t="s">
        <v>39</v>
      </c>
      <c r="F23" s="8">
        <v>10</v>
      </c>
      <c r="G23" s="9">
        <v>220.18</v>
      </c>
      <c r="H23" s="9">
        <v>100.84</v>
      </c>
    </row>
    <row r="24" spans="1:8" x14ac:dyDescent="0.25">
      <c r="A24" s="6">
        <v>41509</v>
      </c>
      <c r="B24" s="7" t="s">
        <v>26</v>
      </c>
      <c r="C24" s="8" t="s">
        <v>31</v>
      </c>
      <c r="D24" s="8" t="s">
        <v>37</v>
      </c>
      <c r="E24" s="8" t="s">
        <v>40</v>
      </c>
      <c r="F24" s="8">
        <v>14</v>
      </c>
      <c r="G24" s="9">
        <v>378.27</v>
      </c>
      <c r="H24" s="9">
        <v>203.62</v>
      </c>
    </row>
    <row r="25" spans="1:8" x14ac:dyDescent="0.25">
      <c r="A25" s="6">
        <v>41500</v>
      </c>
      <c r="B25" s="7" t="s">
        <v>14</v>
      </c>
      <c r="C25" s="8" t="s">
        <v>15</v>
      </c>
      <c r="D25" s="8" t="s">
        <v>32</v>
      </c>
      <c r="E25" s="8" t="s">
        <v>21</v>
      </c>
      <c r="F25" s="8">
        <v>10</v>
      </c>
      <c r="G25" s="9">
        <v>270.77999999999997</v>
      </c>
      <c r="H25" s="9">
        <v>145.72999999999999</v>
      </c>
    </row>
    <row r="26" spans="1:8" x14ac:dyDescent="0.25">
      <c r="A26" s="6">
        <v>41495</v>
      </c>
      <c r="B26" s="7" t="s">
        <v>26</v>
      </c>
      <c r="C26" s="8" t="s">
        <v>29</v>
      </c>
      <c r="D26" s="8" t="s">
        <v>37</v>
      </c>
      <c r="E26" s="8" t="s">
        <v>41</v>
      </c>
      <c r="F26" s="8">
        <v>38</v>
      </c>
      <c r="G26" s="9">
        <v>874.45</v>
      </c>
      <c r="H26" s="9">
        <v>418.69</v>
      </c>
    </row>
    <row r="27" spans="1:8" x14ac:dyDescent="0.25">
      <c r="A27" s="6">
        <v>41477</v>
      </c>
      <c r="B27" s="7" t="s">
        <v>18</v>
      </c>
      <c r="C27" s="8" t="s">
        <v>15</v>
      </c>
      <c r="D27" s="8" t="s">
        <v>32</v>
      </c>
      <c r="E27" s="8" t="s">
        <v>42</v>
      </c>
      <c r="F27" s="8">
        <v>61</v>
      </c>
      <c r="G27" s="9">
        <v>1647.26</v>
      </c>
      <c r="H27" s="9">
        <v>885.17</v>
      </c>
    </row>
    <row r="28" spans="1:8" x14ac:dyDescent="0.25">
      <c r="A28" s="6">
        <v>41475</v>
      </c>
      <c r="B28" s="7" t="s">
        <v>25</v>
      </c>
      <c r="C28" s="8" t="s">
        <v>29</v>
      </c>
      <c r="D28" s="8" t="s">
        <v>22</v>
      </c>
      <c r="E28" s="8" t="s">
        <v>42</v>
      </c>
      <c r="F28" s="8">
        <v>40</v>
      </c>
      <c r="G28" s="9">
        <v>880.38</v>
      </c>
      <c r="H28" s="9">
        <v>400.89</v>
      </c>
    </row>
    <row r="29" spans="1:8" x14ac:dyDescent="0.25">
      <c r="A29" s="6">
        <v>41463</v>
      </c>
      <c r="B29" s="7" t="s">
        <v>26</v>
      </c>
      <c r="C29" s="8" t="s">
        <v>15</v>
      </c>
      <c r="D29" s="8" t="s">
        <v>20</v>
      </c>
      <c r="E29" s="8" t="s">
        <v>17</v>
      </c>
      <c r="F29" s="8">
        <v>58</v>
      </c>
      <c r="G29" s="9">
        <v>1102.81</v>
      </c>
      <c r="H29" s="9">
        <v>464.06</v>
      </c>
    </row>
    <row r="30" spans="1:8" x14ac:dyDescent="0.25">
      <c r="A30" s="6">
        <v>41438</v>
      </c>
      <c r="B30" s="7" t="s">
        <v>25</v>
      </c>
      <c r="C30" s="8" t="s">
        <v>15</v>
      </c>
      <c r="D30" s="8" t="s">
        <v>16</v>
      </c>
      <c r="E30" s="8" t="s">
        <v>17</v>
      </c>
      <c r="F30" s="8">
        <v>42</v>
      </c>
      <c r="G30" s="9">
        <v>1134.94</v>
      </c>
      <c r="H30" s="9">
        <v>609.54</v>
      </c>
    </row>
    <row r="31" spans="1:8" x14ac:dyDescent="0.25">
      <c r="A31" s="6">
        <v>41438</v>
      </c>
      <c r="B31" s="7" t="s">
        <v>26</v>
      </c>
      <c r="C31" s="8" t="s">
        <v>31</v>
      </c>
      <c r="D31" s="8" t="s">
        <v>16</v>
      </c>
      <c r="E31" s="8" t="s">
        <v>43</v>
      </c>
      <c r="F31" s="8">
        <v>49</v>
      </c>
      <c r="G31" s="9">
        <v>1323.81</v>
      </c>
      <c r="H31" s="9">
        <v>711.49</v>
      </c>
    </row>
    <row r="32" spans="1:8" x14ac:dyDescent="0.25">
      <c r="A32" s="6">
        <v>41413</v>
      </c>
      <c r="B32" s="7" t="s">
        <v>14</v>
      </c>
      <c r="C32" s="8" t="s">
        <v>29</v>
      </c>
      <c r="D32" s="8" t="s">
        <v>22</v>
      </c>
      <c r="E32" s="8" t="s">
        <v>44</v>
      </c>
      <c r="F32" s="8">
        <v>61</v>
      </c>
      <c r="G32" s="9">
        <v>1281.0999999999999</v>
      </c>
      <c r="H32" s="9">
        <v>565.15</v>
      </c>
    </row>
    <row r="33" spans="1:8" x14ac:dyDescent="0.25">
      <c r="A33" s="6">
        <v>41375</v>
      </c>
      <c r="B33" s="7" t="s">
        <v>25</v>
      </c>
      <c r="C33" s="8" t="s">
        <v>15</v>
      </c>
      <c r="D33" s="8" t="s">
        <v>37</v>
      </c>
      <c r="E33" s="8" t="s">
        <v>21</v>
      </c>
      <c r="F33" s="8">
        <v>44</v>
      </c>
      <c r="G33" s="9">
        <v>1188.81</v>
      </c>
      <c r="H33" s="9">
        <v>638.04</v>
      </c>
    </row>
    <row r="34" spans="1:8" x14ac:dyDescent="0.25">
      <c r="A34" s="6">
        <v>41362</v>
      </c>
      <c r="B34" s="7" t="s">
        <v>25</v>
      </c>
      <c r="C34" s="8" t="s">
        <v>31</v>
      </c>
      <c r="D34" s="8" t="s">
        <v>27</v>
      </c>
      <c r="E34" s="8" t="s">
        <v>30</v>
      </c>
      <c r="F34" s="8">
        <v>7</v>
      </c>
      <c r="G34" s="9">
        <v>154.34</v>
      </c>
      <c r="H34" s="9">
        <v>70</v>
      </c>
    </row>
    <row r="35" spans="1:8" x14ac:dyDescent="0.25">
      <c r="A35" s="6">
        <v>41351</v>
      </c>
      <c r="B35" s="7" t="s">
        <v>25</v>
      </c>
      <c r="C35" s="8" t="s">
        <v>31</v>
      </c>
      <c r="D35" s="8" t="s">
        <v>16</v>
      </c>
      <c r="E35" s="8" t="s">
        <v>30</v>
      </c>
      <c r="F35" s="8">
        <v>52</v>
      </c>
      <c r="G35" s="9">
        <v>1196.03</v>
      </c>
      <c r="H35" s="9">
        <v>572.80999999999995</v>
      </c>
    </row>
    <row r="36" spans="1:8" x14ac:dyDescent="0.25">
      <c r="A36" s="6">
        <v>41337</v>
      </c>
      <c r="B36" s="7" t="s">
        <v>26</v>
      </c>
      <c r="C36" s="8" t="s">
        <v>15</v>
      </c>
      <c r="D36" s="8" t="s">
        <v>20</v>
      </c>
      <c r="E36" s="8" t="s">
        <v>36</v>
      </c>
      <c r="F36" s="8">
        <v>25</v>
      </c>
      <c r="G36" s="9">
        <v>675.75</v>
      </c>
      <c r="H36" s="9">
        <v>362.89</v>
      </c>
    </row>
    <row r="37" spans="1:8" x14ac:dyDescent="0.25">
      <c r="A37" s="6">
        <v>41323</v>
      </c>
      <c r="B37" s="7" t="s">
        <v>25</v>
      </c>
      <c r="C37" s="8" t="s">
        <v>15</v>
      </c>
      <c r="D37" s="8" t="s">
        <v>32</v>
      </c>
      <c r="E37" s="8" t="s">
        <v>38</v>
      </c>
      <c r="F37" s="8">
        <v>59</v>
      </c>
      <c r="G37" s="9">
        <v>1357.25</v>
      </c>
      <c r="H37" s="9">
        <v>649.15</v>
      </c>
    </row>
    <row r="38" spans="1:8" x14ac:dyDescent="0.25">
      <c r="A38" s="6">
        <v>41318</v>
      </c>
      <c r="B38" s="7" t="s">
        <v>25</v>
      </c>
      <c r="C38" s="8" t="s">
        <v>15</v>
      </c>
      <c r="D38" s="8" t="s">
        <v>37</v>
      </c>
      <c r="E38" s="8" t="s">
        <v>45</v>
      </c>
      <c r="F38" s="8">
        <v>21</v>
      </c>
      <c r="G38" s="9">
        <v>399.15</v>
      </c>
      <c r="H38" s="9">
        <v>168.95</v>
      </c>
    </row>
    <row r="39" spans="1:8" x14ac:dyDescent="0.25">
      <c r="A39" s="6">
        <v>41317</v>
      </c>
      <c r="B39" s="7" t="s">
        <v>18</v>
      </c>
      <c r="C39" s="8" t="s">
        <v>15</v>
      </c>
      <c r="D39" s="8" t="s">
        <v>27</v>
      </c>
      <c r="E39" s="8" t="s">
        <v>46</v>
      </c>
      <c r="F39" s="8">
        <v>12</v>
      </c>
      <c r="G39" s="9">
        <v>252.44</v>
      </c>
      <c r="H39" s="9">
        <v>111.66</v>
      </c>
    </row>
    <row r="40" spans="1:8" x14ac:dyDescent="0.25">
      <c r="A40" s="6">
        <v>41313</v>
      </c>
      <c r="B40" s="7" t="s">
        <v>14</v>
      </c>
      <c r="C40" s="8" t="s">
        <v>15</v>
      </c>
      <c r="D40" s="8" t="s">
        <v>16</v>
      </c>
      <c r="E40" s="8" t="s">
        <v>47</v>
      </c>
      <c r="F40" s="8">
        <v>29</v>
      </c>
      <c r="G40" s="9">
        <v>667.99</v>
      </c>
      <c r="H40" s="9">
        <v>319.45</v>
      </c>
    </row>
    <row r="41" spans="1:8" x14ac:dyDescent="0.25">
      <c r="A41" s="6">
        <v>41310</v>
      </c>
      <c r="B41" s="7" t="s">
        <v>25</v>
      </c>
      <c r="C41" s="8" t="s">
        <v>15</v>
      </c>
      <c r="D41" s="8" t="s">
        <v>27</v>
      </c>
      <c r="E41" s="8" t="s">
        <v>48</v>
      </c>
      <c r="F41" s="8">
        <v>63</v>
      </c>
      <c r="G41" s="9">
        <v>1701.68</v>
      </c>
      <c r="H41" s="9">
        <v>913.74</v>
      </c>
    </row>
    <row r="42" spans="1:8" x14ac:dyDescent="0.25">
      <c r="A42" s="6">
        <v>41292</v>
      </c>
      <c r="B42" s="7" t="s">
        <v>18</v>
      </c>
      <c r="C42" s="8" t="s">
        <v>29</v>
      </c>
      <c r="D42" s="8" t="s">
        <v>20</v>
      </c>
      <c r="E42" s="8" t="s">
        <v>49</v>
      </c>
      <c r="F42" s="8">
        <v>18</v>
      </c>
      <c r="G42" s="9">
        <v>414.11</v>
      </c>
      <c r="H42" s="9">
        <v>198.71</v>
      </c>
    </row>
    <row r="43" spans="1:8" x14ac:dyDescent="0.25">
      <c r="A43" s="6">
        <v>41275</v>
      </c>
      <c r="B43" s="7" t="s">
        <v>18</v>
      </c>
      <c r="C43" s="8" t="s">
        <v>15</v>
      </c>
      <c r="D43" s="8" t="s">
        <v>37</v>
      </c>
      <c r="E43" s="8" t="s">
        <v>34</v>
      </c>
      <c r="F43" s="8">
        <v>24</v>
      </c>
      <c r="G43" s="9">
        <v>456.41</v>
      </c>
      <c r="H43" s="9">
        <v>192.14</v>
      </c>
    </row>
    <row r="44" spans="1:8" x14ac:dyDescent="0.25">
      <c r="A44" s="6">
        <v>41265</v>
      </c>
      <c r="B44" s="7" t="s">
        <v>14</v>
      </c>
      <c r="C44" s="8" t="s">
        <v>15</v>
      </c>
      <c r="D44" s="8" t="s">
        <v>22</v>
      </c>
      <c r="E44" s="8" t="s">
        <v>50</v>
      </c>
      <c r="F44" s="8">
        <v>13</v>
      </c>
      <c r="G44" s="9">
        <v>273.10000000000002</v>
      </c>
      <c r="H44" s="9">
        <v>120.64</v>
      </c>
    </row>
    <row r="45" spans="1:8" x14ac:dyDescent="0.25">
      <c r="A45" s="6">
        <v>41231</v>
      </c>
      <c r="B45" s="7" t="s">
        <v>25</v>
      </c>
      <c r="C45" s="8" t="s">
        <v>15</v>
      </c>
      <c r="D45" s="8" t="s">
        <v>22</v>
      </c>
      <c r="E45" s="8" t="s">
        <v>51</v>
      </c>
      <c r="F45" s="8">
        <v>53</v>
      </c>
      <c r="G45" s="9">
        <v>1166.31</v>
      </c>
      <c r="H45" s="9">
        <v>530.24</v>
      </c>
    </row>
    <row r="46" spans="1:8" x14ac:dyDescent="0.25">
      <c r="A46" s="6">
        <v>41231</v>
      </c>
      <c r="B46" s="7" t="s">
        <v>25</v>
      </c>
      <c r="C46" s="8" t="s">
        <v>15</v>
      </c>
      <c r="D46" s="8" t="s">
        <v>37</v>
      </c>
      <c r="E46" s="8" t="s">
        <v>46</v>
      </c>
      <c r="F46" s="8">
        <v>46</v>
      </c>
      <c r="G46" s="9">
        <v>1058.01</v>
      </c>
      <c r="H46" s="9">
        <v>506.64</v>
      </c>
    </row>
    <row r="47" spans="1:8" x14ac:dyDescent="0.25">
      <c r="A47" s="6">
        <v>41191</v>
      </c>
      <c r="B47" s="7" t="s">
        <v>14</v>
      </c>
      <c r="C47" s="8" t="s">
        <v>29</v>
      </c>
      <c r="D47" s="8" t="s">
        <v>16</v>
      </c>
      <c r="E47" s="8" t="s">
        <v>35</v>
      </c>
      <c r="F47" s="8">
        <v>17</v>
      </c>
      <c r="G47" s="9">
        <v>459.29</v>
      </c>
      <c r="H47" s="9">
        <v>246.75</v>
      </c>
    </row>
    <row r="48" spans="1:8" x14ac:dyDescent="0.25">
      <c r="A48" s="6">
        <v>41178</v>
      </c>
      <c r="B48" s="7" t="s">
        <v>26</v>
      </c>
      <c r="C48" s="8" t="s">
        <v>29</v>
      </c>
      <c r="D48" s="8" t="s">
        <v>37</v>
      </c>
      <c r="E48" s="8" t="s">
        <v>39</v>
      </c>
      <c r="F48" s="8">
        <v>54</v>
      </c>
      <c r="G48" s="9">
        <v>1026.96</v>
      </c>
      <c r="H48" s="9">
        <v>432.75</v>
      </c>
    </row>
    <row r="49" spans="1:8" x14ac:dyDescent="0.25">
      <c r="A49" s="6">
        <v>41135</v>
      </c>
      <c r="B49" s="7" t="s">
        <v>25</v>
      </c>
      <c r="C49" s="8" t="s">
        <v>15</v>
      </c>
      <c r="D49" s="8" t="s">
        <v>16</v>
      </c>
      <c r="E49" s="8" t="s">
        <v>52</v>
      </c>
      <c r="F49" s="8">
        <v>36</v>
      </c>
      <c r="G49" s="9">
        <v>756.46</v>
      </c>
      <c r="H49" s="9">
        <v>333.2</v>
      </c>
    </row>
    <row r="50" spans="1:8" x14ac:dyDescent="0.25">
      <c r="A50" s="6">
        <v>41115</v>
      </c>
      <c r="B50" s="7" t="s">
        <v>26</v>
      </c>
      <c r="C50" s="8" t="s">
        <v>15</v>
      </c>
      <c r="D50" s="8" t="s">
        <v>20</v>
      </c>
      <c r="E50" s="8" t="s">
        <v>28</v>
      </c>
      <c r="F50" s="8">
        <v>44</v>
      </c>
      <c r="G50" s="9">
        <v>924.29</v>
      </c>
      <c r="H50" s="9">
        <v>407.31</v>
      </c>
    </row>
    <row r="51" spans="1:8" x14ac:dyDescent="0.25">
      <c r="A51" s="6">
        <v>41115</v>
      </c>
      <c r="B51" s="7" t="s">
        <v>14</v>
      </c>
      <c r="C51" s="8" t="s">
        <v>15</v>
      </c>
      <c r="D51" s="8" t="s">
        <v>37</v>
      </c>
      <c r="E51" s="8" t="s">
        <v>43</v>
      </c>
      <c r="F51" s="8">
        <v>13</v>
      </c>
      <c r="G51" s="9">
        <v>299.64</v>
      </c>
      <c r="H51" s="9">
        <v>143.78</v>
      </c>
    </row>
    <row r="52" spans="1:8" x14ac:dyDescent="0.25">
      <c r="A52" s="6">
        <v>41108</v>
      </c>
      <c r="B52" s="7" t="s">
        <v>26</v>
      </c>
      <c r="C52" s="8" t="s">
        <v>15</v>
      </c>
      <c r="D52" s="8" t="s">
        <v>20</v>
      </c>
      <c r="E52" s="8" t="s">
        <v>53</v>
      </c>
      <c r="F52" s="8">
        <v>25</v>
      </c>
      <c r="G52" s="9">
        <v>550.39</v>
      </c>
      <c r="H52" s="9">
        <v>250.46</v>
      </c>
    </row>
    <row r="53" spans="1:8" x14ac:dyDescent="0.25">
      <c r="A53" s="6">
        <v>41102</v>
      </c>
      <c r="B53" s="7" t="s">
        <v>18</v>
      </c>
      <c r="C53" s="8" t="s">
        <v>15</v>
      </c>
      <c r="D53" s="8" t="s">
        <v>37</v>
      </c>
      <c r="E53" s="8" t="s">
        <v>28</v>
      </c>
      <c r="F53" s="8">
        <v>20</v>
      </c>
      <c r="G53" s="9">
        <v>441</v>
      </c>
      <c r="H53" s="9">
        <v>200.54</v>
      </c>
    </row>
    <row r="54" spans="1:8" x14ac:dyDescent="0.25">
      <c r="A54" s="6">
        <v>41089</v>
      </c>
      <c r="B54" s="7" t="s">
        <v>18</v>
      </c>
      <c r="C54" s="8" t="s">
        <v>15</v>
      </c>
      <c r="D54" s="8" t="s">
        <v>16</v>
      </c>
      <c r="E54" s="8" t="s">
        <v>53</v>
      </c>
      <c r="F54" s="8">
        <v>64</v>
      </c>
      <c r="G54" s="9">
        <v>1216.1199999999999</v>
      </c>
      <c r="H54" s="9">
        <v>512.86</v>
      </c>
    </row>
    <row r="55" spans="1:8" x14ac:dyDescent="0.25">
      <c r="A55" s="6">
        <v>41073</v>
      </c>
      <c r="B55" s="7" t="s">
        <v>25</v>
      </c>
      <c r="C55" s="8" t="s">
        <v>29</v>
      </c>
      <c r="D55" s="8" t="s">
        <v>22</v>
      </c>
      <c r="E55" s="8" t="s">
        <v>34</v>
      </c>
      <c r="F55" s="8">
        <v>63</v>
      </c>
      <c r="G55" s="9">
        <v>1449.21</v>
      </c>
      <c r="H55" s="9">
        <v>693.64</v>
      </c>
    </row>
    <row r="56" spans="1:8" x14ac:dyDescent="0.25">
      <c r="A56" s="6">
        <v>41066</v>
      </c>
      <c r="B56" s="7" t="s">
        <v>14</v>
      </c>
      <c r="C56" s="8" t="s">
        <v>15</v>
      </c>
      <c r="D56" s="8" t="s">
        <v>32</v>
      </c>
      <c r="E56" s="8" t="s">
        <v>49</v>
      </c>
      <c r="F56" s="8">
        <v>17</v>
      </c>
      <c r="G56" s="9">
        <v>374.81</v>
      </c>
      <c r="H56" s="9">
        <v>170.37</v>
      </c>
    </row>
    <row r="57" spans="1:8" x14ac:dyDescent="0.25">
      <c r="A57" s="6">
        <v>41050</v>
      </c>
      <c r="B57" s="7" t="s">
        <v>14</v>
      </c>
      <c r="C57" s="8" t="s">
        <v>31</v>
      </c>
      <c r="D57" s="8" t="s">
        <v>22</v>
      </c>
      <c r="E57" s="8" t="s">
        <v>39</v>
      </c>
      <c r="F57" s="8">
        <v>33</v>
      </c>
      <c r="G57" s="9">
        <v>627.32000000000005</v>
      </c>
      <c r="H57" s="9">
        <v>264.54000000000002</v>
      </c>
    </row>
    <row r="58" spans="1:8" x14ac:dyDescent="0.25">
      <c r="A58" s="6">
        <v>41044</v>
      </c>
      <c r="B58" s="7" t="s">
        <v>18</v>
      </c>
      <c r="C58" s="8" t="s">
        <v>29</v>
      </c>
      <c r="D58" s="8" t="s">
        <v>27</v>
      </c>
      <c r="E58" s="8" t="s">
        <v>54</v>
      </c>
      <c r="F58" s="8">
        <v>27</v>
      </c>
      <c r="G58" s="9">
        <v>567.17999999999995</v>
      </c>
      <c r="H58" s="9">
        <v>250.66</v>
      </c>
    </row>
    <row r="59" spans="1:8" x14ac:dyDescent="0.25">
      <c r="A59" s="6">
        <v>41032</v>
      </c>
      <c r="B59" s="7" t="s">
        <v>18</v>
      </c>
      <c r="C59" s="8" t="s">
        <v>15</v>
      </c>
      <c r="D59" s="8" t="s">
        <v>16</v>
      </c>
      <c r="E59" s="8" t="s">
        <v>33</v>
      </c>
      <c r="F59" s="8">
        <v>6</v>
      </c>
      <c r="G59" s="9">
        <v>132.34</v>
      </c>
      <c r="H59" s="9">
        <v>60.58</v>
      </c>
    </row>
    <row r="60" spans="1:8" x14ac:dyDescent="0.25">
      <c r="A60" s="6">
        <v>41029</v>
      </c>
      <c r="B60" s="7" t="s">
        <v>14</v>
      </c>
      <c r="C60" s="8" t="s">
        <v>15</v>
      </c>
      <c r="D60" s="8" t="s">
        <v>22</v>
      </c>
      <c r="E60" s="8" t="s">
        <v>35</v>
      </c>
      <c r="F60" s="8">
        <v>23</v>
      </c>
      <c r="G60" s="9">
        <v>437.92</v>
      </c>
      <c r="H60" s="9">
        <v>184.33</v>
      </c>
    </row>
    <row r="61" spans="1:8" x14ac:dyDescent="0.25">
      <c r="A61" s="6">
        <v>41028</v>
      </c>
      <c r="B61" s="7" t="s">
        <v>14</v>
      </c>
      <c r="C61" s="8" t="s">
        <v>31</v>
      </c>
      <c r="D61" s="8" t="s">
        <v>16</v>
      </c>
      <c r="E61" s="8" t="s">
        <v>47</v>
      </c>
      <c r="F61" s="8">
        <v>65</v>
      </c>
      <c r="G61" s="9">
        <v>1755.71</v>
      </c>
      <c r="H61" s="9">
        <v>942.93</v>
      </c>
    </row>
    <row r="62" spans="1:8" x14ac:dyDescent="0.25">
      <c r="A62" s="6">
        <v>41004</v>
      </c>
      <c r="B62" s="7" t="s">
        <v>25</v>
      </c>
      <c r="C62" s="8" t="s">
        <v>15</v>
      </c>
      <c r="D62" s="8" t="s">
        <v>37</v>
      </c>
      <c r="E62" s="8" t="s">
        <v>48</v>
      </c>
      <c r="F62" s="8">
        <v>62</v>
      </c>
      <c r="G62" s="9">
        <v>1674.82</v>
      </c>
      <c r="H62" s="9">
        <v>899.56</v>
      </c>
    </row>
    <row r="63" spans="1:8" x14ac:dyDescent="0.25">
      <c r="A63" s="6">
        <v>40991</v>
      </c>
      <c r="B63" s="7" t="s">
        <v>18</v>
      </c>
      <c r="C63" s="8" t="s">
        <v>31</v>
      </c>
      <c r="D63" s="8" t="s">
        <v>32</v>
      </c>
      <c r="E63" s="8" t="s">
        <v>54</v>
      </c>
      <c r="F63" s="8">
        <v>30</v>
      </c>
      <c r="G63" s="9">
        <v>570.22</v>
      </c>
      <c r="H63" s="9">
        <v>240.67</v>
      </c>
    </row>
    <row r="64" spans="1:8" x14ac:dyDescent="0.25">
      <c r="A64" s="6">
        <v>40950</v>
      </c>
      <c r="B64" s="7" t="s">
        <v>26</v>
      </c>
      <c r="C64" s="8" t="s">
        <v>15</v>
      </c>
      <c r="D64" s="8" t="s">
        <v>32</v>
      </c>
      <c r="E64" s="8" t="s">
        <v>21</v>
      </c>
      <c r="F64" s="8">
        <v>62</v>
      </c>
      <c r="G64" s="9">
        <v>1178.07</v>
      </c>
      <c r="H64" s="9">
        <v>496.92</v>
      </c>
    </row>
    <row r="65" spans="1:8" x14ac:dyDescent="0.25">
      <c r="A65" s="6">
        <v>40945</v>
      </c>
      <c r="B65" s="7" t="s">
        <v>25</v>
      </c>
      <c r="C65" s="8" t="s">
        <v>15</v>
      </c>
      <c r="D65" s="8" t="s">
        <v>32</v>
      </c>
      <c r="E65" s="8" t="s">
        <v>51</v>
      </c>
      <c r="F65" s="8">
        <v>50</v>
      </c>
      <c r="G65" s="9">
        <v>1100.1400000000001</v>
      </c>
      <c r="H65" s="9">
        <v>500.16</v>
      </c>
    </row>
    <row r="66" spans="1:8" x14ac:dyDescent="0.25">
      <c r="A66" s="6">
        <v>40944</v>
      </c>
      <c r="B66" s="7" t="s">
        <v>14</v>
      </c>
      <c r="C66" s="8" t="s">
        <v>19</v>
      </c>
      <c r="D66" s="8" t="s">
        <v>22</v>
      </c>
      <c r="E66" s="8" t="s">
        <v>55</v>
      </c>
      <c r="F66" s="8">
        <v>19</v>
      </c>
      <c r="G66" s="9">
        <v>418.54</v>
      </c>
      <c r="H66" s="9">
        <v>190.05</v>
      </c>
    </row>
    <row r="67" spans="1:8" x14ac:dyDescent="0.25">
      <c r="A67" s="6">
        <v>40932</v>
      </c>
      <c r="B67" s="7" t="s">
        <v>14</v>
      </c>
      <c r="C67" s="8" t="s">
        <v>15</v>
      </c>
      <c r="D67" s="8" t="s">
        <v>37</v>
      </c>
      <c r="E67" s="8" t="s">
        <v>17</v>
      </c>
      <c r="F67" s="8">
        <v>44</v>
      </c>
      <c r="G67" s="9">
        <v>1188.22</v>
      </c>
      <c r="H67" s="9">
        <v>638.79</v>
      </c>
    </row>
    <row r="68" spans="1:8" x14ac:dyDescent="0.25">
      <c r="A68" s="6">
        <v>40918</v>
      </c>
      <c r="B68" s="7" t="s">
        <v>18</v>
      </c>
      <c r="C68" s="8" t="s">
        <v>19</v>
      </c>
      <c r="D68" s="8" t="s">
        <v>22</v>
      </c>
      <c r="E68" s="8" t="s">
        <v>41</v>
      </c>
      <c r="F68" s="8">
        <v>23</v>
      </c>
      <c r="G68" s="9">
        <v>483.58</v>
      </c>
      <c r="H68" s="9">
        <v>213.57</v>
      </c>
    </row>
    <row r="69" spans="1:8" x14ac:dyDescent="0.25">
      <c r="A69" s="6">
        <v>40906</v>
      </c>
      <c r="B69" s="7" t="s">
        <v>25</v>
      </c>
      <c r="C69" s="8" t="s">
        <v>15</v>
      </c>
      <c r="D69" s="8" t="s">
        <v>16</v>
      </c>
      <c r="E69" s="8" t="s">
        <v>54</v>
      </c>
      <c r="F69" s="8">
        <v>11</v>
      </c>
      <c r="G69" s="9">
        <v>242.26</v>
      </c>
      <c r="H69" s="9">
        <v>110.91</v>
      </c>
    </row>
    <row r="70" spans="1:8" x14ac:dyDescent="0.25">
      <c r="A70" s="6">
        <v>40903</v>
      </c>
      <c r="B70" s="7" t="s">
        <v>18</v>
      </c>
      <c r="C70" s="8" t="s">
        <v>29</v>
      </c>
      <c r="D70" s="8" t="s">
        <v>32</v>
      </c>
      <c r="E70" s="8" t="s">
        <v>41</v>
      </c>
      <c r="F70" s="8">
        <v>26</v>
      </c>
      <c r="G70" s="9">
        <v>572.41999999999996</v>
      </c>
      <c r="H70" s="9">
        <v>260.27</v>
      </c>
    </row>
    <row r="71" spans="1:8" x14ac:dyDescent="0.25">
      <c r="A71" s="6">
        <v>40897</v>
      </c>
      <c r="B71" s="7" t="s">
        <v>18</v>
      </c>
      <c r="C71" s="8" t="s">
        <v>15</v>
      </c>
      <c r="D71" s="8" t="s">
        <v>16</v>
      </c>
      <c r="E71" s="8" t="s">
        <v>21</v>
      </c>
      <c r="F71" s="8">
        <v>16</v>
      </c>
      <c r="G71" s="9">
        <v>352.2</v>
      </c>
      <c r="H71" s="9">
        <v>160.66</v>
      </c>
    </row>
    <row r="72" spans="1:8" x14ac:dyDescent="0.25">
      <c r="A72" s="6">
        <v>40865</v>
      </c>
      <c r="B72" s="7" t="s">
        <v>14</v>
      </c>
      <c r="C72" s="8" t="s">
        <v>29</v>
      </c>
      <c r="D72" s="8" t="s">
        <v>32</v>
      </c>
      <c r="E72" s="8" t="s">
        <v>48</v>
      </c>
      <c r="F72" s="8">
        <v>16</v>
      </c>
      <c r="G72" s="9">
        <v>432.67</v>
      </c>
      <c r="H72" s="9">
        <v>232.2</v>
      </c>
    </row>
    <row r="73" spans="1:8" x14ac:dyDescent="0.25">
      <c r="A73" s="6">
        <v>40831</v>
      </c>
      <c r="B73" s="7" t="s">
        <v>18</v>
      </c>
      <c r="C73" s="8" t="s">
        <v>15</v>
      </c>
      <c r="D73" s="8" t="s">
        <v>27</v>
      </c>
      <c r="E73" s="8" t="s">
        <v>56</v>
      </c>
      <c r="F73" s="8">
        <v>10</v>
      </c>
      <c r="G73" s="9">
        <v>270.5</v>
      </c>
      <c r="H73" s="9">
        <v>145.57</v>
      </c>
    </row>
    <row r="74" spans="1:8" x14ac:dyDescent="0.25">
      <c r="A74" s="6">
        <v>40829</v>
      </c>
      <c r="B74" s="7" t="s">
        <v>18</v>
      </c>
      <c r="C74" s="8" t="s">
        <v>15</v>
      </c>
      <c r="D74" s="8" t="s">
        <v>37</v>
      </c>
      <c r="E74" s="8" t="s">
        <v>30</v>
      </c>
      <c r="F74" s="8">
        <v>29</v>
      </c>
      <c r="G74" s="9">
        <v>783.75</v>
      </c>
      <c r="H74" s="9">
        <v>421.2</v>
      </c>
    </row>
    <row r="75" spans="1:8" x14ac:dyDescent="0.25">
      <c r="A75" s="6">
        <v>40799</v>
      </c>
      <c r="B75" s="7" t="s">
        <v>26</v>
      </c>
      <c r="C75" s="8" t="s">
        <v>15</v>
      </c>
      <c r="D75" s="8" t="s">
        <v>32</v>
      </c>
      <c r="E75" s="8" t="s">
        <v>30</v>
      </c>
      <c r="F75" s="8">
        <v>62</v>
      </c>
      <c r="G75" s="9">
        <v>1302.8599999999999</v>
      </c>
      <c r="H75" s="9">
        <v>574.25</v>
      </c>
    </row>
    <row r="76" spans="1:8" x14ac:dyDescent="0.25">
      <c r="A76" s="6">
        <v>40733</v>
      </c>
      <c r="B76" s="7" t="s">
        <v>18</v>
      </c>
      <c r="C76" s="8" t="s">
        <v>29</v>
      </c>
      <c r="D76" s="8" t="s">
        <v>22</v>
      </c>
      <c r="E76" s="8" t="s">
        <v>33</v>
      </c>
      <c r="F76" s="8">
        <v>53</v>
      </c>
      <c r="G76" s="9">
        <v>1113.7</v>
      </c>
      <c r="H76" s="9">
        <v>490.31</v>
      </c>
    </row>
    <row r="77" spans="1:8" x14ac:dyDescent="0.25">
      <c r="A77" s="6">
        <v>40727</v>
      </c>
      <c r="B77" s="7" t="s">
        <v>14</v>
      </c>
      <c r="C77" s="8" t="s">
        <v>29</v>
      </c>
      <c r="D77" s="8" t="s">
        <v>37</v>
      </c>
      <c r="E77" s="8" t="s">
        <v>50</v>
      </c>
      <c r="F77" s="8">
        <v>12</v>
      </c>
      <c r="G77" s="9">
        <v>276.06</v>
      </c>
      <c r="H77" s="9">
        <v>132.56</v>
      </c>
    </row>
    <row r="78" spans="1:8" x14ac:dyDescent="0.25">
      <c r="A78" s="6">
        <v>40690</v>
      </c>
      <c r="B78" s="7" t="s">
        <v>26</v>
      </c>
      <c r="C78" s="8" t="s">
        <v>15</v>
      </c>
      <c r="D78" s="8" t="s">
        <v>32</v>
      </c>
      <c r="E78" s="8" t="s">
        <v>30</v>
      </c>
      <c r="F78" s="8">
        <v>58</v>
      </c>
      <c r="G78" s="9">
        <v>1566.83</v>
      </c>
      <c r="H78" s="9">
        <v>841.43</v>
      </c>
    </row>
    <row r="79" spans="1:8" x14ac:dyDescent="0.25">
      <c r="A79" s="6">
        <v>40669</v>
      </c>
      <c r="B79" s="7" t="s">
        <v>18</v>
      </c>
      <c r="C79" s="8" t="s">
        <v>29</v>
      </c>
      <c r="D79" s="8" t="s">
        <v>20</v>
      </c>
      <c r="E79" s="8" t="s">
        <v>53</v>
      </c>
      <c r="F79" s="8">
        <v>15</v>
      </c>
      <c r="G79" s="9">
        <v>330.61</v>
      </c>
      <c r="H79" s="9">
        <v>150.43</v>
      </c>
    </row>
    <row r="80" spans="1:8" x14ac:dyDescent="0.25">
      <c r="A80" s="6">
        <v>40669</v>
      </c>
      <c r="B80" s="7" t="s">
        <v>14</v>
      </c>
      <c r="C80" s="8" t="s">
        <v>15</v>
      </c>
      <c r="D80" s="8" t="s">
        <v>20</v>
      </c>
      <c r="E80" s="8" t="s">
        <v>17</v>
      </c>
      <c r="F80" s="8">
        <v>35</v>
      </c>
      <c r="G80" s="9">
        <v>770.18</v>
      </c>
      <c r="H80" s="9">
        <v>350.66</v>
      </c>
    </row>
    <row r="81" spans="1:8" x14ac:dyDescent="0.25">
      <c r="A81" s="6">
        <v>40668</v>
      </c>
      <c r="B81" s="7" t="s">
        <v>25</v>
      </c>
      <c r="C81" s="8" t="s">
        <v>31</v>
      </c>
      <c r="D81" s="8" t="s">
        <v>37</v>
      </c>
      <c r="E81" s="8" t="s">
        <v>45</v>
      </c>
      <c r="F81" s="8">
        <v>34</v>
      </c>
      <c r="G81" s="9">
        <v>782.32</v>
      </c>
      <c r="H81" s="9">
        <v>374.76</v>
      </c>
    </row>
    <row r="82" spans="1:8" x14ac:dyDescent="0.25">
      <c r="A82" s="6">
        <v>40604</v>
      </c>
      <c r="B82" s="7" t="s">
        <v>18</v>
      </c>
      <c r="C82" s="8" t="s">
        <v>19</v>
      </c>
      <c r="D82" s="8" t="s">
        <v>20</v>
      </c>
      <c r="E82" s="8" t="s">
        <v>43</v>
      </c>
      <c r="F82" s="8">
        <v>29</v>
      </c>
      <c r="G82" s="9">
        <v>609.12</v>
      </c>
      <c r="H82" s="9">
        <v>269.16000000000003</v>
      </c>
    </row>
    <row r="83" spans="1:8" x14ac:dyDescent="0.25">
      <c r="A83" s="6">
        <v>40601</v>
      </c>
      <c r="B83" s="7" t="s">
        <v>25</v>
      </c>
      <c r="C83" s="8" t="s">
        <v>31</v>
      </c>
      <c r="D83" s="8" t="s">
        <v>22</v>
      </c>
      <c r="E83" s="8" t="s">
        <v>56</v>
      </c>
      <c r="F83" s="8">
        <v>57</v>
      </c>
      <c r="G83" s="9">
        <v>1254.57</v>
      </c>
      <c r="H83" s="9">
        <v>570.77</v>
      </c>
    </row>
    <row r="84" spans="1:8" x14ac:dyDescent="0.25">
      <c r="A84" s="6">
        <v>40582</v>
      </c>
      <c r="B84" s="7" t="s">
        <v>14</v>
      </c>
      <c r="C84" s="8" t="s">
        <v>29</v>
      </c>
      <c r="D84" s="8" t="s">
        <v>16</v>
      </c>
      <c r="E84" s="8" t="s">
        <v>21</v>
      </c>
      <c r="F84" s="8">
        <v>42</v>
      </c>
      <c r="G84" s="9">
        <v>798.53</v>
      </c>
      <c r="H84" s="9">
        <v>336.16</v>
      </c>
    </row>
    <row r="85" spans="1:8" x14ac:dyDescent="0.25">
      <c r="A85" s="6">
        <v>40574</v>
      </c>
      <c r="B85" s="7" t="s">
        <v>18</v>
      </c>
      <c r="C85" s="8" t="s">
        <v>31</v>
      </c>
      <c r="D85" s="8" t="s">
        <v>27</v>
      </c>
      <c r="E85" s="8" t="s">
        <v>40</v>
      </c>
      <c r="F85" s="8">
        <v>19</v>
      </c>
      <c r="G85" s="9">
        <v>399.02</v>
      </c>
      <c r="H85" s="9">
        <v>176.55</v>
      </c>
    </row>
    <row r="86" spans="1:8" x14ac:dyDescent="0.25">
      <c r="A86" s="6">
        <v>40570</v>
      </c>
      <c r="B86" s="7" t="s">
        <v>26</v>
      </c>
      <c r="C86" s="8" t="s">
        <v>29</v>
      </c>
      <c r="D86" s="8" t="s">
        <v>37</v>
      </c>
      <c r="E86" s="8" t="s">
        <v>57</v>
      </c>
      <c r="F86" s="8">
        <v>60</v>
      </c>
      <c r="G86" s="9">
        <v>1380.07</v>
      </c>
      <c r="H86" s="9">
        <v>660.4</v>
      </c>
    </row>
    <row r="87" spans="1:8" x14ac:dyDescent="0.25">
      <c r="A87" s="6">
        <v>40565</v>
      </c>
      <c r="B87" s="7" t="s">
        <v>14</v>
      </c>
      <c r="C87" s="8" t="s">
        <v>31</v>
      </c>
      <c r="D87" s="8" t="s">
        <v>32</v>
      </c>
      <c r="E87" s="8" t="s">
        <v>17</v>
      </c>
      <c r="F87" s="8">
        <v>11</v>
      </c>
      <c r="G87" s="9">
        <v>209.92</v>
      </c>
      <c r="H87" s="9">
        <v>88.73</v>
      </c>
    </row>
    <row r="88" spans="1:8" x14ac:dyDescent="0.25">
      <c r="A88" s="6">
        <v>40559</v>
      </c>
      <c r="B88" s="7" t="s">
        <v>18</v>
      </c>
      <c r="C88" s="8" t="s">
        <v>15</v>
      </c>
      <c r="D88" s="8" t="s">
        <v>16</v>
      </c>
      <c r="E88" s="8" t="s">
        <v>56</v>
      </c>
      <c r="F88" s="8">
        <v>17</v>
      </c>
      <c r="G88" s="9">
        <v>459.95</v>
      </c>
      <c r="H88" s="9">
        <v>247.23</v>
      </c>
    </row>
    <row r="89" spans="1:8" x14ac:dyDescent="0.25">
      <c r="A89" s="6">
        <v>40558</v>
      </c>
      <c r="B89" s="7" t="s">
        <v>18</v>
      </c>
      <c r="C89" s="8" t="s">
        <v>31</v>
      </c>
      <c r="D89" s="8" t="s">
        <v>20</v>
      </c>
      <c r="E89" s="8" t="s">
        <v>58</v>
      </c>
      <c r="F89" s="8">
        <v>47</v>
      </c>
      <c r="G89" s="9">
        <v>987.62</v>
      </c>
      <c r="H89" s="9">
        <v>435.15</v>
      </c>
    </row>
    <row r="90" spans="1:8" x14ac:dyDescent="0.25">
      <c r="A90" s="6">
        <v>40532</v>
      </c>
      <c r="B90" s="7" t="s">
        <v>25</v>
      </c>
      <c r="C90" s="8" t="s">
        <v>31</v>
      </c>
      <c r="D90" s="8" t="s">
        <v>16</v>
      </c>
      <c r="E90" s="8" t="s">
        <v>58</v>
      </c>
      <c r="F90" s="8">
        <v>17</v>
      </c>
      <c r="G90" s="9">
        <v>357.55</v>
      </c>
      <c r="H90" s="9">
        <v>157.94999999999999</v>
      </c>
    </row>
    <row r="91" spans="1:8" x14ac:dyDescent="0.25">
      <c r="A91" s="6">
        <v>40514</v>
      </c>
      <c r="B91" s="7" t="s">
        <v>26</v>
      </c>
      <c r="C91" s="8" t="s">
        <v>15</v>
      </c>
      <c r="D91" s="8" t="s">
        <v>16</v>
      </c>
      <c r="E91" s="8" t="s">
        <v>53</v>
      </c>
      <c r="F91" s="8">
        <v>31</v>
      </c>
      <c r="G91" s="9">
        <v>713.28</v>
      </c>
      <c r="H91" s="9">
        <v>341.34</v>
      </c>
    </row>
    <row r="92" spans="1:8" x14ac:dyDescent="0.25">
      <c r="A92" s="6">
        <v>40514</v>
      </c>
      <c r="B92" s="7" t="s">
        <v>14</v>
      </c>
      <c r="C92" s="8" t="s">
        <v>31</v>
      </c>
      <c r="D92" s="8" t="s">
        <v>20</v>
      </c>
      <c r="E92" s="8" t="s">
        <v>17</v>
      </c>
      <c r="F92" s="8">
        <v>56</v>
      </c>
      <c r="G92" s="9">
        <v>1232.05</v>
      </c>
      <c r="H92" s="9">
        <v>560.29</v>
      </c>
    </row>
    <row r="93" spans="1:8" x14ac:dyDescent="0.25">
      <c r="A93" s="6">
        <v>40514</v>
      </c>
      <c r="B93" s="7" t="s">
        <v>25</v>
      </c>
      <c r="C93" s="8" t="s">
        <v>31</v>
      </c>
      <c r="D93" s="8" t="s">
        <v>22</v>
      </c>
      <c r="E93" s="8" t="s">
        <v>39</v>
      </c>
      <c r="F93" s="8">
        <v>40</v>
      </c>
      <c r="G93" s="9">
        <v>880.6</v>
      </c>
      <c r="H93" s="9">
        <v>400.47</v>
      </c>
    </row>
    <row r="94" spans="1:8" x14ac:dyDescent="0.25">
      <c r="A94" s="6">
        <v>40486</v>
      </c>
      <c r="B94" s="7" t="s">
        <v>26</v>
      </c>
      <c r="C94" s="8" t="s">
        <v>15</v>
      </c>
      <c r="D94" s="8" t="s">
        <v>22</v>
      </c>
      <c r="E94" s="8" t="s">
        <v>35</v>
      </c>
      <c r="F94" s="8">
        <v>59</v>
      </c>
      <c r="G94" s="9">
        <v>1298.92</v>
      </c>
      <c r="H94" s="9">
        <v>590.75</v>
      </c>
    </row>
    <row r="95" spans="1:8" x14ac:dyDescent="0.25">
      <c r="A95" s="6">
        <v>40484</v>
      </c>
      <c r="B95" s="7" t="s">
        <v>25</v>
      </c>
      <c r="C95" s="8" t="s">
        <v>15</v>
      </c>
      <c r="D95" s="8" t="s">
        <v>22</v>
      </c>
      <c r="E95" s="8" t="s">
        <v>33</v>
      </c>
      <c r="F95" s="8">
        <v>22</v>
      </c>
      <c r="G95" s="9">
        <v>594.16999999999996</v>
      </c>
      <c r="H95" s="9">
        <v>319.41000000000003</v>
      </c>
    </row>
    <row r="96" spans="1:8" x14ac:dyDescent="0.25">
      <c r="A96" s="6">
        <v>40480</v>
      </c>
      <c r="B96" s="7" t="s">
        <v>14</v>
      </c>
      <c r="C96" s="8" t="s">
        <v>15</v>
      </c>
      <c r="D96" s="8" t="s">
        <v>27</v>
      </c>
      <c r="E96" s="8" t="s">
        <v>53</v>
      </c>
      <c r="F96" s="8">
        <v>10</v>
      </c>
      <c r="G96" s="9">
        <v>230.25</v>
      </c>
      <c r="H96" s="9">
        <v>110.43</v>
      </c>
    </row>
    <row r="97" spans="1:8" x14ac:dyDescent="0.25">
      <c r="A97" s="6">
        <v>40469</v>
      </c>
      <c r="B97" s="7" t="s">
        <v>18</v>
      </c>
      <c r="C97" s="8" t="s">
        <v>19</v>
      </c>
      <c r="D97" s="8" t="s">
        <v>27</v>
      </c>
      <c r="E97" s="8" t="s">
        <v>47</v>
      </c>
      <c r="F97" s="8">
        <v>24</v>
      </c>
      <c r="G97" s="9">
        <v>528.5</v>
      </c>
      <c r="H97" s="9">
        <v>240.35</v>
      </c>
    </row>
    <row r="98" spans="1:8" x14ac:dyDescent="0.25">
      <c r="A98" s="6">
        <v>40462</v>
      </c>
      <c r="B98" s="7" t="s">
        <v>26</v>
      </c>
      <c r="C98" s="8" t="s">
        <v>29</v>
      </c>
      <c r="D98" s="8" t="s">
        <v>16</v>
      </c>
      <c r="E98" s="8" t="s">
        <v>53</v>
      </c>
      <c r="F98" s="8">
        <v>40</v>
      </c>
      <c r="G98" s="9">
        <v>760.24</v>
      </c>
      <c r="H98" s="9">
        <v>320.2</v>
      </c>
    </row>
    <row r="99" spans="1:8" x14ac:dyDescent="0.25">
      <c r="A99" s="6">
        <v>40460</v>
      </c>
      <c r="B99" s="7" t="s">
        <v>14</v>
      </c>
      <c r="C99" s="8" t="s">
        <v>15</v>
      </c>
      <c r="D99" s="8" t="s">
        <v>16</v>
      </c>
      <c r="E99" s="8" t="s">
        <v>23</v>
      </c>
      <c r="F99" s="8">
        <v>51</v>
      </c>
      <c r="G99" s="9">
        <v>969.72</v>
      </c>
      <c r="H99" s="9">
        <v>408.08</v>
      </c>
    </row>
    <row r="100" spans="1:8" x14ac:dyDescent="0.25">
      <c r="A100" s="6">
        <v>40417</v>
      </c>
      <c r="B100" s="7" t="s">
        <v>18</v>
      </c>
      <c r="C100" s="8" t="s">
        <v>19</v>
      </c>
      <c r="D100" s="8" t="s">
        <v>32</v>
      </c>
      <c r="E100" s="8" t="s">
        <v>30</v>
      </c>
      <c r="F100" s="8">
        <v>20</v>
      </c>
      <c r="G100" s="9">
        <v>5000</v>
      </c>
      <c r="H100" s="9">
        <v>220.63</v>
      </c>
    </row>
    <row r="101" spans="1:8" x14ac:dyDescent="0.25">
      <c r="A101" s="6">
        <v>40409</v>
      </c>
      <c r="B101" s="7" t="s">
        <v>25</v>
      </c>
      <c r="C101" s="8" t="s">
        <v>15</v>
      </c>
      <c r="D101" s="8" t="s">
        <v>37</v>
      </c>
      <c r="E101" s="8" t="s">
        <v>50</v>
      </c>
      <c r="F101" s="8">
        <v>59</v>
      </c>
      <c r="G101" s="9">
        <v>1121.96</v>
      </c>
      <c r="H101" s="9">
        <v>472.38</v>
      </c>
    </row>
    <row r="102" spans="1:8" x14ac:dyDescent="0.25">
      <c r="A102" s="6">
        <v>40397</v>
      </c>
      <c r="B102" s="7" t="s">
        <v>18</v>
      </c>
      <c r="C102" s="8" t="s">
        <v>29</v>
      </c>
      <c r="D102" s="8" t="s">
        <v>20</v>
      </c>
      <c r="E102" s="8" t="s">
        <v>21</v>
      </c>
      <c r="F102" s="8">
        <v>22</v>
      </c>
      <c r="G102" s="9">
        <v>462.22</v>
      </c>
      <c r="H102" s="9">
        <v>203.57</v>
      </c>
    </row>
    <row r="103" spans="1:8" x14ac:dyDescent="0.25">
      <c r="A103" s="6">
        <v>40396</v>
      </c>
      <c r="B103" s="7" t="s">
        <v>25</v>
      </c>
      <c r="C103" s="8" t="s">
        <v>15</v>
      </c>
      <c r="D103" s="8" t="s">
        <v>27</v>
      </c>
      <c r="E103" s="8" t="s">
        <v>55</v>
      </c>
      <c r="F103" s="8">
        <v>43</v>
      </c>
      <c r="G103" s="9">
        <v>1161.25</v>
      </c>
      <c r="H103" s="9">
        <v>623.75</v>
      </c>
    </row>
    <row r="104" spans="1:8" x14ac:dyDescent="0.25">
      <c r="A104" s="6">
        <v>40395</v>
      </c>
      <c r="B104" s="7" t="s">
        <v>25</v>
      </c>
      <c r="C104" s="8" t="s">
        <v>15</v>
      </c>
      <c r="D104" s="8" t="s">
        <v>27</v>
      </c>
      <c r="E104" s="8" t="s">
        <v>40</v>
      </c>
      <c r="F104" s="8">
        <v>56</v>
      </c>
      <c r="G104" s="9">
        <v>1512.6</v>
      </c>
      <c r="H104" s="9">
        <v>812.83</v>
      </c>
    </row>
    <row r="105" spans="1:8" x14ac:dyDescent="0.25">
      <c r="A105" s="6">
        <v>40364</v>
      </c>
      <c r="B105" s="7" t="s">
        <v>14</v>
      </c>
      <c r="C105" s="8" t="s">
        <v>19</v>
      </c>
      <c r="D105" s="8" t="s">
        <v>22</v>
      </c>
      <c r="E105" s="8" t="s">
        <v>51</v>
      </c>
      <c r="F105" s="8">
        <v>30</v>
      </c>
      <c r="G105" s="9">
        <v>810.71</v>
      </c>
      <c r="H105" s="9">
        <v>435.64</v>
      </c>
    </row>
    <row r="106" spans="1:8" x14ac:dyDescent="0.25">
      <c r="A106" s="6">
        <v>40352</v>
      </c>
      <c r="B106" s="7" t="s">
        <v>18</v>
      </c>
      <c r="C106" s="8" t="s">
        <v>15</v>
      </c>
      <c r="D106" s="8" t="s">
        <v>32</v>
      </c>
      <c r="E106" s="8" t="s">
        <v>44</v>
      </c>
      <c r="F106" s="8">
        <v>49</v>
      </c>
      <c r="G106" s="9">
        <v>931.09</v>
      </c>
      <c r="H106" s="9">
        <v>392.91</v>
      </c>
    </row>
    <row r="107" spans="1:8" x14ac:dyDescent="0.25">
      <c r="A107" s="6">
        <v>40351</v>
      </c>
      <c r="B107" s="7" t="s">
        <v>26</v>
      </c>
      <c r="C107" s="8" t="s">
        <v>15</v>
      </c>
      <c r="D107" s="8" t="s">
        <v>27</v>
      </c>
      <c r="E107" s="8" t="s">
        <v>47</v>
      </c>
      <c r="F107" s="8">
        <v>56</v>
      </c>
      <c r="G107" s="9">
        <v>1512.19</v>
      </c>
      <c r="H107" s="9">
        <v>812.26</v>
      </c>
    </row>
    <row r="108" spans="1:8" x14ac:dyDescent="0.25">
      <c r="A108" s="6">
        <v>40349</v>
      </c>
      <c r="B108" s="7" t="s">
        <v>25</v>
      </c>
      <c r="C108" s="8" t="s">
        <v>15</v>
      </c>
      <c r="D108" s="8" t="s">
        <v>27</v>
      </c>
      <c r="E108" s="8" t="s">
        <v>39</v>
      </c>
      <c r="F108" s="8">
        <v>21</v>
      </c>
      <c r="G108" s="9">
        <v>462.17</v>
      </c>
      <c r="H108" s="9">
        <v>210.81</v>
      </c>
    </row>
    <row r="109" spans="1:8" x14ac:dyDescent="0.25">
      <c r="A109" s="6">
        <v>40303</v>
      </c>
      <c r="B109" s="7" t="s">
        <v>18</v>
      </c>
      <c r="C109" s="8" t="s">
        <v>29</v>
      </c>
      <c r="D109" s="8" t="s">
        <v>16</v>
      </c>
      <c r="E109" s="8" t="s">
        <v>44</v>
      </c>
      <c r="F109" s="8">
        <v>27</v>
      </c>
      <c r="G109" s="9">
        <v>594.09</v>
      </c>
      <c r="H109" s="9">
        <v>270.42</v>
      </c>
    </row>
    <row r="110" spans="1:8" x14ac:dyDescent="0.25">
      <c r="A110" s="6">
        <v>40283</v>
      </c>
      <c r="B110" s="7" t="s">
        <v>18</v>
      </c>
      <c r="C110" s="8" t="s">
        <v>31</v>
      </c>
      <c r="D110" s="8" t="s">
        <v>27</v>
      </c>
      <c r="E110" s="8" t="s">
        <v>51</v>
      </c>
      <c r="F110" s="8">
        <v>63</v>
      </c>
      <c r="G110" s="9">
        <v>1323.35</v>
      </c>
      <c r="H110" s="9">
        <v>583.36</v>
      </c>
    </row>
    <row r="111" spans="1:8" x14ac:dyDescent="0.25">
      <c r="A111" s="6">
        <v>40255</v>
      </c>
      <c r="B111" s="7" t="s">
        <v>25</v>
      </c>
      <c r="C111" s="8" t="s">
        <v>29</v>
      </c>
      <c r="D111" s="8" t="s">
        <v>22</v>
      </c>
      <c r="E111" s="8" t="s">
        <v>36</v>
      </c>
      <c r="F111" s="8">
        <v>57</v>
      </c>
      <c r="G111" s="9">
        <v>1197.9000000000001</v>
      </c>
      <c r="H111" s="9">
        <v>527.98</v>
      </c>
    </row>
    <row r="112" spans="1:8" x14ac:dyDescent="0.25">
      <c r="A112" s="6">
        <v>40206</v>
      </c>
      <c r="B112" s="7" t="s">
        <v>14</v>
      </c>
      <c r="C112" s="8" t="s">
        <v>15</v>
      </c>
      <c r="D112" s="8" t="s">
        <v>20</v>
      </c>
      <c r="E112" s="8" t="s">
        <v>51</v>
      </c>
      <c r="F112" s="8">
        <v>8</v>
      </c>
      <c r="G112" s="9">
        <v>152.24</v>
      </c>
      <c r="H112" s="9">
        <v>64.989999999999995</v>
      </c>
    </row>
    <row r="113" spans="1:8" x14ac:dyDescent="0.25">
      <c r="A113" s="6">
        <v>40206</v>
      </c>
      <c r="B113" s="7" t="s">
        <v>18</v>
      </c>
      <c r="C113" s="8" t="s">
        <v>15</v>
      </c>
      <c r="D113" s="8" t="s">
        <v>20</v>
      </c>
      <c r="E113" s="8" t="s">
        <v>44</v>
      </c>
      <c r="F113" s="8">
        <v>35</v>
      </c>
      <c r="G113" s="9">
        <v>770.8</v>
      </c>
      <c r="H113" s="9">
        <v>350.53</v>
      </c>
    </row>
    <row r="114" spans="1:8" x14ac:dyDescent="0.25">
      <c r="A114" s="6">
        <v>40195</v>
      </c>
      <c r="B114" s="7" t="s">
        <v>26</v>
      </c>
      <c r="C114" s="8" t="s">
        <v>31</v>
      </c>
      <c r="D114" s="8" t="s">
        <v>16</v>
      </c>
      <c r="E114" s="8" t="s">
        <v>36</v>
      </c>
      <c r="F114" s="8">
        <v>8</v>
      </c>
      <c r="G114" s="9">
        <v>152.76</v>
      </c>
      <c r="H114" s="9">
        <v>64.12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EF55-DCBE-4341-B29C-95D4217E50E6}">
  <sheetPr filterMode="1"/>
  <dimension ref="A1:P44"/>
  <sheetViews>
    <sheetView topLeftCell="A8" workbookViewId="0">
      <selection activeCell="K41" sqref="K41"/>
    </sheetView>
  </sheetViews>
  <sheetFormatPr defaultColWidth="8.85546875" defaultRowHeight="18.75" x14ac:dyDescent="0.3"/>
  <cols>
    <col min="1" max="1" width="17.140625" style="2" bestFit="1" customWidth="1"/>
    <col min="2" max="2" width="13.28515625" style="2" customWidth="1"/>
    <col min="3" max="3" width="14.7109375" style="2" customWidth="1"/>
    <col min="4" max="4" width="16.7109375" style="2" customWidth="1"/>
    <col min="5" max="5" width="9.85546875" style="2" customWidth="1"/>
    <col min="6" max="6" width="14.7109375" style="11" customWidth="1"/>
    <col min="7" max="7" width="14.85546875" style="2" bestFit="1" customWidth="1"/>
    <col min="8" max="8" width="10.85546875" style="2" customWidth="1"/>
    <col min="9" max="9" width="3.5703125" style="2" customWidth="1"/>
    <col min="10" max="10" width="8.85546875" style="2"/>
    <col min="11" max="11" width="10" style="2" customWidth="1"/>
    <col min="12" max="12" width="18.140625" style="2" customWidth="1"/>
    <col min="13" max="13" width="8.85546875" style="2"/>
    <col min="14" max="14" width="12.5703125" style="2" customWidth="1"/>
    <col min="15" max="15" width="13.7109375" style="2" customWidth="1"/>
    <col min="16" max="16" width="15.28515625" style="2" customWidth="1"/>
    <col min="17" max="16384" width="8.85546875" style="2"/>
  </cols>
  <sheetData>
    <row r="1" spans="1:16" x14ac:dyDescent="0.3">
      <c r="A1" s="12" t="s">
        <v>0</v>
      </c>
      <c r="B1" s="11"/>
      <c r="C1" s="11"/>
      <c r="D1" s="11"/>
      <c r="E1" s="11"/>
      <c r="G1" s="11"/>
    </row>
    <row r="2" spans="1:16" x14ac:dyDescent="0.3">
      <c r="A2" s="2" t="s">
        <v>152</v>
      </c>
      <c r="F2" s="2"/>
      <c r="H2" s="11"/>
      <c r="I2" s="11"/>
    </row>
    <row r="3" spans="1:16" x14ac:dyDescent="0.3">
      <c r="A3" s="2" t="s">
        <v>153</v>
      </c>
      <c r="F3" s="2"/>
      <c r="I3" s="11"/>
    </row>
    <row r="4" spans="1:16" x14ac:dyDescent="0.3">
      <c r="A4" s="2" t="s">
        <v>154</v>
      </c>
      <c r="F4" s="2"/>
      <c r="I4" s="11"/>
    </row>
    <row r="5" spans="1:16" x14ac:dyDescent="0.3">
      <c r="A5" s="2" t="s">
        <v>155</v>
      </c>
      <c r="F5" s="2"/>
      <c r="I5" s="11"/>
    </row>
    <row r="6" spans="1:16" x14ac:dyDescent="0.3">
      <c r="A6" s="2" t="s">
        <v>156</v>
      </c>
      <c r="F6" s="2"/>
      <c r="I6" s="11"/>
    </row>
    <row r="7" spans="1:16" x14ac:dyDescent="0.3">
      <c r="A7" s="2" t="s">
        <v>157</v>
      </c>
      <c r="F7" s="2"/>
      <c r="I7" s="11"/>
    </row>
    <row r="8" spans="1:16" x14ac:dyDescent="0.3">
      <c r="A8" s="2" t="s">
        <v>158</v>
      </c>
      <c r="F8" s="2"/>
      <c r="I8" s="11"/>
    </row>
    <row r="9" spans="1:16" x14ac:dyDescent="0.3">
      <c r="I9" s="11"/>
    </row>
    <row r="10" spans="1:16" x14ac:dyDescent="0.3">
      <c r="A10" s="29" t="s">
        <v>59</v>
      </c>
      <c r="F10" s="2"/>
      <c r="I10" s="11"/>
      <c r="J10" s="11"/>
      <c r="L10" s="11"/>
      <c r="M10" s="11"/>
      <c r="N10" s="11"/>
      <c r="O10" s="11"/>
      <c r="P10" s="11"/>
    </row>
    <row r="11" spans="1:16" x14ac:dyDescent="0.3">
      <c r="A11" s="35" t="s">
        <v>60</v>
      </c>
      <c r="B11" s="35" t="s">
        <v>61</v>
      </c>
      <c r="C11" s="35" t="s">
        <v>62</v>
      </c>
      <c r="D11" s="35" t="s">
        <v>63</v>
      </c>
      <c r="E11" s="35" t="s">
        <v>64</v>
      </c>
      <c r="F11" s="35" t="s">
        <v>65</v>
      </c>
      <c r="G11" s="35" t="s">
        <v>165</v>
      </c>
      <c r="H11" s="36" t="s">
        <v>67</v>
      </c>
      <c r="I11" s="11"/>
      <c r="J11" s="11"/>
      <c r="K11" s="11"/>
      <c r="L11" s="11"/>
      <c r="M11" s="11"/>
      <c r="N11" s="11"/>
      <c r="O11" s="11"/>
      <c r="P11" s="11"/>
    </row>
    <row r="12" spans="1:16" hidden="1" x14ac:dyDescent="0.3">
      <c r="A12" s="30" t="s">
        <v>68</v>
      </c>
      <c r="B12" s="30" t="s">
        <v>69</v>
      </c>
      <c r="C12" s="30" t="s">
        <v>70</v>
      </c>
      <c r="D12" s="30" t="s">
        <v>71</v>
      </c>
      <c r="E12" s="30" t="s">
        <v>72</v>
      </c>
      <c r="F12" s="30" t="s">
        <v>73</v>
      </c>
      <c r="G12" s="31">
        <v>44047</v>
      </c>
      <c r="H12" s="32">
        <v>45300</v>
      </c>
      <c r="I12" s="11"/>
      <c r="J12" s="11"/>
      <c r="K12" s="11"/>
      <c r="L12" s="11"/>
      <c r="M12" s="11"/>
      <c r="N12" s="11"/>
      <c r="O12" s="11"/>
      <c r="P12" s="11"/>
    </row>
    <row r="13" spans="1:16" hidden="1" x14ac:dyDescent="0.3">
      <c r="A13" s="30" t="s">
        <v>75</v>
      </c>
      <c r="B13" s="30" t="s">
        <v>76</v>
      </c>
      <c r="C13" s="30" t="s">
        <v>77</v>
      </c>
      <c r="D13" s="30" t="s">
        <v>78</v>
      </c>
      <c r="E13" s="30" t="s">
        <v>72</v>
      </c>
      <c r="F13" s="30" t="s">
        <v>79</v>
      </c>
      <c r="G13" s="31">
        <v>45265</v>
      </c>
      <c r="H13" s="32">
        <v>75500</v>
      </c>
      <c r="I13" s="11"/>
      <c r="J13" s="11"/>
      <c r="K13" s="11"/>
      <c r="L13" s="11"/>
      <c r="M13" s="11"/>
      <c r="N13" s="11"/>
      <c r="O13" s="11"/>
      <c r="P13" s="11"/>
    </row>
    <row r="14" spans="1:16" hidden="1" x14ac:dyDescent="0.3">
      <c r="A14" s="30" t="s">
        <v>81</v>
      </c>
      <c r="B14" s="30" t="s">
        <v>69</v>
      </c>
      <c r="C14" s="30" t="s">
        <v>82</v>
      </c>
      <c r="D14" s="30" t="s">
        <v>83</v>
      </c>
      <c r="E14" s="30" t="s">
        <v>72</v>
      </c>
      <c r="F14" s="30" t="s">
        <v>73</v>
      </c>
      <c r="G14" s="31">
        <v>44446</v>
      </c>
      <c r="H14" s="32">
        <v>35500</v>
      </c>
      <c r="I14" s="11"/>
      <c r="J14" s="11"/>
      <c r="K14" s="11"/>
      <c r="L14" s="11"/>
      <c r="M14" s="11"/>
      <c r="N14" s="11"/>
      <c r="O14" s="11"/>
      <c r="P14" s="11"/>
    </row>
    <row r="15" spans="1:16" x14ac:dyDescent="0.3">
      <c r="A15" s="30" t="s">
        <v>85</v>
      </c>
      <c r="B15" s="30" t="s">
        <v>86</v>
      </c>
      <c r="C15" s="30">
        <v>129675</v>
      </c>
      <c r="D15" s="30" t="s">
        <v>83</v>
      </c>
      <c r="E15" s="30" t="s">
        <v>87</v>
      </c>
      <c r="F15" s="30" t="s">
        <v>79</v>
      </c>
      <c r="G15" s="31">
        <v>44531</v>
      </c>
      <c r="H15" s="32">
        <v>38500</v>
      </c>
      <c r="I15" s="11"/>
      <c r="J15" s="11"/>
      <c r="K15" s="11"/>
      <c r="L15" s="11"/>
      <c r="M15" s="11"/>
      <c r="N15" s="11"/>
      <c r="O15" s="11"/>
      <c r="P15" s="11"/>
    </row>
    <row r="16" spans="1:16" hidden="1" x14ac:dyDescent="0.3">
      <c r="A16" s="30" t="s">
        <v>89</v>
      </c>
      <c r="B16" s="30" t="s">
        <v>90</v>
      </c>
      <c r="C16" s="30" t="s">
        <v>91</v>
      </c>
      <c r="D16" s="30" t="s">
        <v>78</v>
      </c>
      <c r="E16" s="30" t="s">
        <v>87</v>
      </c>
      <c r="F16" s="30" t="s">
        <v>73</v>
      </c>
      <c r="G16" s="31">
        <v>45186</v>
      </c>
      <c r="H16" s="32">
        <v>65400</v>
      </c>
      <c r="I16" s="11"/>
      <c r="J16" s="11"/>
      <c r="K16" s="11"/>
      <c r="L16" s="11"/>
      <c r="M16" s="11"/>
      <c r="N16" s="11"/>
      <c r="O16" s="11"/>
      <c r="P16" s="11"/>
    </row>
    <row r="17" spans="1:16" hidden="1" x14ac:dyDescent="0.3">
      <c r="A17" s="30" t="s">
        <v>92</v>
      </c>
      <c r="B17" s="30"/>
      <c r="C17" s="30" t="s">
        <v>93</v>
      </c>
      <c r="D17" s="30" t="s">
        <v>71</v>
      </c>
      <c r="E17" s="30" t="s">
        <v>87</v>
      </c>
      <c r="F17" s="30" t="s">
        <v>79</v>
      </c>
      <c r="G17" s="31">
        <v>44582</v>
      </c>
      <c r="H17" s="32">
        <v>51550</v>
      </c>
      <c r="I17" s="11"/>
      <c r="J17" s="11"/>
      <c r="K17" s="11"/>
      <c r="L17" s="11"/>
      <c r="M17" s="11"/>
      <c r="N17" s="11"/>
      <c r="O17" s="11"/>
      <c r="P17" s="11"/>
    </row>
    <row r="18" spans="1:16" hidden="1" x14ac:dyDescent="0.3">
      <c r="A18" s="30" t="s">
        <v>94</v>
      </c>
      <c r="B18" s="30" t="s">
        <v>95</v>
      </c>
      <c r="C18" s="30" t="s">
        <v>96</v>
      </c>
      <c r="D18" s="30" t="s">
        <v>78</v>
      </c>
      <c r="E18" s="30" t="s">
        <v>87</v>
      </c>
      <c r="F18" s="30" t="s">
        <v>79</v>
      </c>
      <c r="G18" s="31">
        <v>45121</v>
      </c>
      <c r="H18" s="32">
        <v>38580</v>
      </c>
      <c r="I18" s="11"/>
      <c r="J18" s="11"/>
      <c r="K18" s="11"/>
      <c r="L18" s="11"/>
      <c r="M18" s="11"/>
      <c r="N18" s="11"/>
      <c r="O18" s="11"/>
      <c r="P18" s="11"/>
    </row>
    <row r="19" spans="1:16" hidden="1" x14ac:dyDescent="0.3">
      <c r="A19" s="30" t="s">
        <v>97</v>
      </c>
      <c r="B19" s="30" t="s">
        <v>98</v>
      </c>
      <c r="C19" s="30" t="s">
        <v>99</v>
      </c>
      <c r="D19" s="30" t="s">
        <v>78</v>
      </c>
      <c r="E19" s="30" t="s">
        <v>87</v>
      </c>
      <c r="F19" s="30" t="s">
        <v>100</v>
      </c>
      <c r="G19" s="31">
        <v>45208</v>
      </c>
      <c r="H19" s="32">
        <v>72500</v>
      </c>
      <c r="I19" s="11"/>
      <c r="J19" s="11"/>
      <c r="K19" s="11"/>
      <c r="L19" s="11"/>
      <c r="M19" s="11"/>
      <c r="N19" s="11"/>
      <c r="O19" s="11"/>
      <c r="P19" s="11"/>
    </row>
    <row r="20" spans="1:16" hidden="1" x14ac:dyDescent="0.3">
      <c r="A20" s="30" t="s">
        <v>101</v>
      </c>
      <c r="B20" s="30"/>
      <c r="C20" s="30" t="s">
        <v>102</v>
      </c>
      <c r="D20" s="30" t="s">
        <v>78</v>
      </c>
      <c r="E20" s="30" t="s">
        <v>87</v>
      </c>
      <c r="F20" s="30" t="s">
        <v>103</v>
      </c>
      <c r="G20" s="31">
        <v>45211</v>
      </c>
      <c r="H20" s="32">
        <v>65500</v>
      </c>
      <c r="I20" s="11"/>
      <c r="J20" s="11"/>
      <c r="K20" s="11"/>
      <c r="L20" s="11"/>
      <c r="M20" s="11"/>
      <c r="N20" s="11"/>
      <c r="O20" s="11"/>
      <c r="P20" s="11"/>
    </row>
    <row r="21" spans="1:16" x14ac:dyDescent="0.3">
      <c r="A21" s="30" t="s">
        <v>104</v>
      </c>
      <c r="B21" s="30"/>
      <c r="C21" s="30">
        <v>508967</v>
      </c>
      <c r="D21" s="30" t="s">
        <v>83</v>
      </c>
      <c r="E21" s="30" t="s">
        <v>87</v>
      </c>
      <c r="F21" s="30" t="s">
        <v>103</v>
      </c>
      <c r="G21" s="31">
        <v>44632</v>
      </c>
      <c r="H21" s="32">
        <v>45300</v>
      </c>
      <c r="I21" s="11"/>
      <c r="J21" s="11"/>
      <c r="K21" s="11"/>
      <c r="L21" s="11"/>
      <c r="M21" s="11"/>
      <c r="N21" s="11"/>
      <c r="O21" s="11"/>
      <c r="P21" s="11"/>
    </row>
    <row r="22" spans="1:16" hidden="1" x14ac:dyDescent="0.3">
      <c r="A22" s="30" t="s">
        <v>105</v>
      </c>
      <c r="B22" s="30" t="s">
        <v>106</v>
      </c>
      <c r="C22" s="30">
        <v>500128</v>
      </c>
      <c r="D22" s="30" t="s">
        <v>107</v>
      </c>
      <c r="E22" s="30" t="s">
        <v>87</v>
      </c>
      <c r="F22" s="30" t="s">
        <v>79</v>
      </c>
      <c r="G22" s="31">
        <v>44771</v>
      </c>
      <c r="H22" s="32">
        <v>49500</v>
      </c>
      <c r="I22" s="11"/>
      <c r="J22" s="11"/>
      <c r="K22" s="11"/>
      <c r="L22" s="11"/>
      <c r="M22" s="11"/>
      <c r="N22" s="11"/>
      <c r="O22" s="11"/>
      <c r="P22" s="11"/>
    </row>
    <row r="23" spans="1:16" hidden="1" x14ac:dyDescent="0.3">
      <c r="A23" s="30" t="s">
        <v>108</v>
      </c>
      <c r="B23" s="30" t="s">
        <v>109</v>
      </c>
      <c r="C23" s="30" t="s">
        <v>110</v>
      </c>
      <c r="D23" s="30" t="s">
        <v>71</v>
      </c>
      <c r="E23" s="30" t="s">
        <v>111</v>
      </c>
      <c r="F23" s="30" t="s">
        <v>79</v>
      </c>
      <c r="G23" s="31">
        <v>45146</v>
      </c>
      <c r="H23" s="32">
        <v>58500</v>
      </c>
      <c r="I23" s="11"/>
      <c r="J23" s="11"/>
      <c r="K23" s="11"/>
      <c r="L23" s="11"/>
      <c r="M23" s="11"/>
      <c r="N23" s="11"/>
      <c r="O23" s="11"/>
      <c r="P23" s="11"/>
    </row>
    <row r="24" spans="1:16" hidden="1" x14ac:dyDescent="0.3">
      <c r="A24" s="30" t="s">
        <v>112</v>
      </c>
      <c r="B24" s="30" t="s">
        <v>69</v>
      </c>
      <c r="C24" s="30" t="s">
        <v>113</v>
      </c>
      <c r="D24" s="30" t="s">
        <v>78</v>
      </c>
      <c r="E24" s="30" t="s">
        <v>111</v>
      </c>
      <c r="F24" s="30" t="s">
        <v>73</v>
      </c>
      <c r="G24" s="31">
        <v>44264</v>
      </c>
      <c r="H24" s="32">
        <v>56000</v>
      </c>
      <c r="I24" s="11"/>
      <c r="J24" s="11"/>
      <c r="K24" s="11"/>
      <c r="L24" s="11"/>
      <c r="M24" s="11"/>
      <c r="N24" s="11"/>
      <c r="O24" s="11"/>
      <c r="P24" s="11"/>
    </row>
    <row r="25" spans="1:16" hidden="1" x14ac:dyDescent="0.3">
      <c r="A25" s="30" t="s">
        <v>114</v>
      </c>
      <c r="B25" s="30" t="s">
        <v>115</v>
      </c>
      <c r="C25" s="30" t="s">
        <v>116</v>
      </c>
      <c r="D25" s="30" t="s">
        <v>71</v>
      </c>
      <c r="E25" s="30" t="s">
        <v>111</v>
      </c>
      <c r="F25" s="30" t="s">
        <v>117</v>
      </c>
      <c r="G25" s="31">
        <v>45152</v>
      </c>
      <c r="H25" s="32">
        <v>75800</v>
      </c>
      <c r="I25" s="11"/>
      <c r="J25" s="11"/>
      <c r="K25" s="11"/>
      <c r="L25" s="11"/>
      <c r="M25" s="11"/>
      <c r="N25" s="11"/>
      <c r="O25" s="11"/>
      <c r="P25" s="11"/>
    </row>
    <row r="26" spans="1:16" hidden="1" x14ac:dyDescent="0.3">
      <c r="A26" s="30" t="s">
        <v>118</v>
      </c>
      <c r="B26" s="30" t="s">
        <v>119</v>
      </c>
      <c r="C26" s="30">
        <v>178654</v>
      </c>
      <c r="D26" s="30" t="s">
        <v>78</v>
      </c>
      <c r="E26" s="30" t="s">
        <v>111</v>
      </c>
      <c r="F26" s="30" t="s">
        <v>117</v>
      </c>
      <c r="G26" s="31">
        <v>44412</v>
      </c>
      <c r="H26" s="32">
        <v>73300</v>
      </c>
      <c r="I26" s="11"/>
      <c r="J26" s="11"/>
      <c r="K26" s="11"/>
      <c r="L26" s="11"/>
      <c r="M26" s="11"/>
      <c r="N26" s="11"/>
      <c r="O26" s="11"/>
      <c r="P26" s="11"/>
    </row>
    <row r="27" spans="1:16" hidden="1" x14ac:dyDescent="0.3">
      <c r="A27" s="30" t="s">
        <v>114</v>
      </c>
      <c r="B27" s="30" t="s">
        <v>120</v>
      </c>
      <c r="C27" s="30">
        <v>104057</v>
      </c>
      <c r="D27" s="30" t="s">
        <v>78</v>
      </c>
      <c r="E27" s="30" t="s">
        <v>111</v>
      </c>
      <c r="F27" s="30" t="s">
        <v>121</v>
      </c>
      <c r="G27" s="31">
        <v>44968</v>
      </c>
      <c r="H27" s="32">
        <v>44500</v>
      </c>
      <c r="I27" s="11"/>
      <c r="J27" s="11"/>
      <c r="K27" s="11"/>
      <c r="L27" s="11"/>
      <c r="M27" s="11"/>
      <c r="N27" s="11"/>
      <c r="O27" s="11"/>
      <c r="P27" s="11"/>
    </row>
    <row r="28" spans="1:16" hidden="1" x14ac:dyDescent="0.3">
      <c r="A28" s="30" t="s">
        <v>122</v>
      </c>
      <c r="B28" s="30" t="s">
        <v>123</v>
      </c>
      <c r="C28" s="30">
        <v>510298</v>
      </c>
      <c r="D28" s="30" t="s">
        <v>78</v>
      </c>
      <c r="E28" s="30" t="s">
        <v>124</v>
      </c>
      <c r="F28" s="30" t="s">
        <v>79</v>
      </c>
      <c r="G28" s="31">
        <v>45059</v>
      </c>
      <c r="H28" s="32">
        <v>76000</v>
      </c>
      <c r="I28" s="11"/>
      <c r="J28" s="11"/>
      <c r="K28" s="11"/>
      <c r="L28" s="11"/>
      <c r="M28" s="11"/>
      <c r="N28" s="11"/>
      <c r="O28" s="11"/>
      <c r="P28" s="11"/>
    </row>
    <row r="29" spans="1:16" hidden="1" x14ac:dyDescent="0.3">
      <c r="A29" s="30" t="s">
        <v>125</v>
      </c>
      <c r="B29" s="30" t="s">
        <v>126</v>
      </c>
      <c r="C29" s="30">
        <v>120356</v>
      </c>
      <c r="D29" s="30" t="s">
        <v>107</v>
      </c>
      <c r="E29" s="30" t="s">
        <v>124</v>
      </c>
      <c r="F29" s="30" t="s">
        <v>79</v>
      </c>
      <c r="G29" s="31">
        <v>43926</v>
      </c>
      <c r="H29" s="32">
        <v>67000</v>
      </c>
      <c r="I29" s="11"/>
      <c r="J29" s="11"/>
      <c r="K29" s="11"/>
      <c r="L29" s="11"/>
      <c r="M29" s="11"/>
      <c r="N29" s="11"/>
      <c r="O29" s="11"/>
      <c r="P29" s="11"/>
    </row>
    <row r="30" spans="1:16" hidden="1" x14ac:dyDescent="0.3">
      <c r="A30" s="30" t="s">
        <v>127</v>
      </c>
      <c r="B30" s="30" t="s">
        <v>128</v>
      </c>
      <c r="C30" s="30">
        <v>110251</v>
      </c>
      <c r="D30" s="30" t="s">
        <v>78</v>
      </c>
      <c r="E30" s="30" t="s">
        <v>124</v>
      </c>
      <c r="F30" s="30" t="s">
        <v>129</v>
      </c>
      <c r="G30" s="31">
        <v>44096</v>
      </c>
      <c r="H30" s="32">
        <v>52500</v>
      </c>
      <c r="I30" s="11"/>
      <c r="J30" s="11"/>
      <c r="K30" s="11"/>
      <c r="L30" s="11"/>
      <c r="M30" s="11"/>
      <c r="N30" s="11"/>
      <c r="O30" s="11"/>
      <c r="P30" s="11"/>
    </row>
    <row r="31" spans="1:16" hidden="1" x14ac:dyDescent="0.3">
      <c r="A31" s="30" t="s">
        <v>130</v>
      </c>
      <c r="B31" s="30" t="s">
        <v>69</v>
      </c>
      <c r="C31" s="30">
        <v>405634</v>
      </c>
      <c r="D31" s="30" t="s">
        <v>71</v>
      </c>
      <c r="E31" s="30" t="s">
        <v>124</v>
      </c>
      <c r="F31" s="30" t="s">
        <v>129</v>
      </c>
      <c r="G31" s="31">
        <v>44315</v>
      </c>
      <c r="H31" s="32">
        <v>48500</v>
      </c>
      <c r="I31" s="11"/>
      <c r="J31" s="11"/>
      <c r="K31" s="11"/>
      <c r="L31" s="11"/>
      <c r="M31" s="11"/>
      <c r="N31" s="11"/>
      <c r="O31" s="11"/>
      <c r="P31" s="11"/>
    </row>
    <row r="32" spans="1:16" hidden="1" x14ac:dyDescent="0.3">
      <c r="A32" s="30" t="s">
        <v>131</v>
      </c>
      <c r="B32" s="30" t="s">
        <v>109</v>
      </c>
      <c r="C32" s="30">
        <v>122445</v>
      </c>
      <c r="D32" s="30" t="s">
        <v>83</v>
      </c>
      <c r="E32" s="30" t="s">
        <v>124</v>
      </c>
      <c r="F32" s="30" t="s">
        <v>132</v>
      </c>
      <c r="G32" s="31">
        <v>44511</v>
      </c>
      <c r="H32" s="32">
        <v>45350</v>
      </c>
      <c r="I32" s="11"/>
      <c r="J32" s="11"/>
      <c r="K32" s="11"/>
      <c r="L32" s="11"/>
      <c r="M32" s="11"/>
      <c r="N32" s="11"/>
      <c r="O32" s="11"/>
      <c r="P32" s="11"/>
    </row>
    <row r="33" spans="1:16" hidden="1" x14ac:dyDescent="0.3">
      <c r="A33" s="30" t="s">
        <v>133</v>
      </c>
      <c r="B33" s="30" t="s">
        <v>134</v>
      </c>
      <c r="C33" s="30">
        <v>110456</v>
      </c>
      <c r="D33" s="30" t="s">
        <v>83</v>
      </c>
      <c r="E33" s="30" t="s">
        <v>124</v>
      </c>
      <c r="F33" s="30" t="s">
        <v>135</v>
      </c>
      <c r="G33" s="31">
        <v>44794</v>
      </c>
      <c r="H33" s="32">
        <v>62550</v>
      </c>
      <c r="I33" s="11"/>
      <c r="J33" s="11"/>
      <c r="K33" s="11"/>
      <c r="L33" s="11"/>
      <c r="M33" s="11"/>
      <c r="N33" s="11"/>
      <c r="O33" s="11"/>
      <c r="P33" s="11"/>
    </row>
    <row r="34" spans="1:16" hidden="1" x14ac:dyDescent="0.3">
      <c r="A34" s="33" t="s">
        <v>136</v>
      </c>
      <c r="B34" s="33" t="s">
        <v>137</v>
      </c>
      <c r="C34" s="33" t="s">
        <v>138</v>
      </c>
      <c r="D34" s="33" t="s">
        <v>71</v>
      </c>
      <c r="E34" s="33" t="s">
        <v>124</v>
      </c>
      <c r="F34" s="33" t="s">
        <v>132</v>
      </c>
      <c r="G34" s="34">
        <v>44819</v>
      </c>
      <c r="H34" s="16">
        <v>65500</v>
      </c>
      <c r="I34" s="11"/>
      <c r="J34" s="11"/>
      <c r="K34" s="11"/>
      <c r="L34" s="11"/>
      <c r="M34" s="11"/>
      <c r="N34" s="11"/>
      <c r="O34" s="11"/>
      <c r="P34" s="11"/>
    </row>
    <row r="35" spans="1:16" x14ac:dyDescent="0.3">
      <c r="A35" s="11"/>
      <c r="B35" s="11"/>
      <c r="C35" s="11"/>
      <c r="D35" s="11"/>
      <c r="E35" s="11"/>
      <c r="G35" s="11"/>
    </row>
    <row r="36" spans="1:16" x14ac:dyDescent="0.3">
      <c r="A36" s="11"/>
      <c r="B36" s="11"/>
      <c r="C36" s="11"/>
      <c r="D36" s="11"/>
      <c r="E36" s="11"/>
      <c r="G36" s="11"/>
    </row>
    <row r="37" spans="1:16" x14ac:dyDescent="0.3">
      <c r="A37" s="11"/>
      <c r="B37" s="11"/>
      <c r="C37" s="11"/>
      <c r="D37" s="11"/>
      <c r="E37" s="11"/>
      <c r="G37" s="11"/>
    </row>
    <row r="38" spans="1:16" x14ac:dyDescent="0.3">
      <c r="A38" s="11"/>
      <c r="B38" s="11"/>
      <c r="C38" s="11"/>
      <c r="D38" s="11"/>
      <c r="E38" s="11"/>
      <c r="G38" s="11"/>
    </row>
    <row r="39" spans="1:16" x14ac:dyDescent="0.3">
      <c r="A39" s="11"/>
      <c r="B39" s="11"/>
      <c r="C39" s="11"/>
      <c r="D39" s="11"/>
      <c r="E39" s="11"/>
      <c r="G39" s="11"/>
    </row>
    <row r="40" spans="1:16" x14ac:dyDescent="0.3">
      <c r="A40" s="11"/>
      <c r="B40" s="11"/>
      <c r="C40" s="11"/>
      <c r="D40" s="11"/>
      <c r="E40" s="11"/>
      <c r="G40" s="11"/>
    </row>
    <row r="41" spans="1:16" x14ac:dyDescent="0.3">
      <c r="A41" s="11"/>
      <c r="B41" s="11"/>
      <c r="C41" s="11"/>
      <c r="D41" s="11"/>
      <c r="E41" s="11"/>
      <c r="G41" s="11"/>
    </row>
    <row r="42" spans="1:16" x14ac:dyDescent="0.3">
      <c r="A42" s="11"/>
      <c r="B42" s="11"/>
      <c r="C42" s="11"/>
      <c r="D42" s="11"/>
      <c r="E42" s="11"/>
      <c r="G42" s="11"/>
    </row>
    <row r="43" spans="1:16" x14ac:dyDescent="0.3">
      <c r="A43" s="11"/>
      <c r="B43" s="11"/>
      <c r="C43" s="11"/>
      <c r="D43" s="11"/>
      <c r="E43" s="11"/>
      <c r="G43" s="11"/>
    </row>
    <row r="44" spans="1:16" x14ac:dyDescent="0.3">
      <c r="A44" s="11"/>
      <c r="B44" s="11"/>
      <c r="C44" s="11"/>
      <c r="D44" s="11"/>
      <c r="E44" s="11"/>
      <c r="G44" s="11"/>
    </row>
  </sheetData>
  <autoFilter ref="A11:H34" xr:uid="{E6BAEF55-DCBE-4341-B29C-95D4217E50E6}">
    <filterColumn colId="3">
      <filters>
        <filter val="AsstMgr"/>
      </filters>
    </filterColumn>
    <filterColumn colId="4">
      <filters>
        <filter val="IT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2BAE-F416-4879-858D-C7A44A16B5AD}">
  <dimension ref="B3:I5"/>
  <sheetViews>
    <sheetView workbookViewId="0">
      <selection activeCell="D5" sqref="D5"/>
    </sheetView>
  </sheetViews>
  <sheetFormatPr defaultRowHeight="15" x14ac:dyDescent="0.25"/>
  <cols>
    <col min="3" max="3" width="12.28515625" bestFit="1" customWidth="1"/>
    <col min="4" max="4" width="14.42578125" bestFit="1" customWidth="1"/>
  </cols>
  <sheetData>
    <row r="3" spans="2:9" ht="18" x14ac:dyDescent="0.25">
      <c r="B3" s="35" t="s">
        <v>60</v>
      </c>
      <c r="C3" s="35" t="s">
        <v>61</v>
      </c>
      <c r="D3" s="35" t="s">
        <v>62</v>
      </c>
      <c r="E3" s="35" t="s">
        <v>63</v>
      </c>
      <c r="F3" s="35" t="s">
        <v>64</v>
      </c>
      <c r="G3" s="35" t="s">
        <v>65</v>
      </c>
      <c r="H3" s="35" t="s">
        <v>165</v>
      </c>
      <c r="I3" s="36" t="s">
        <v>67</v>
      </c>
    </row>
    <row r="4" spans="2:9" ht="18" x14ac:dyDescent="0.25">
      <c r="B4" s="30" t="s">
        <v>131</v>
      </c>
      <c r="C4" s="30" t="s">
        <v>109</v>
      </c>
      <c r="D4" s="30">
        <v>122445</v>
      </c>
      <c r="E4" s="30" t="s">
        <v>83</v>
      </c>
      <c r="F4" s="30" t="s">
        <v>124</v>
      </c>
      <c r="G4" s="30" t="s">
        <v>132</v>
      </c>
      <c r="H4" s="31">
        <v>44511</v>
      </c>
      <c r="I4" s="32">
        <v>45350</v>
      </c>
    </row>
    <row r="5" spans="2:9" ht="18" x14ac:dyDescent="0.25">
      <c r="B5" s="33" t="s">
        <v>136</v>
      </c>
      <c r="C5" s="33" t="s">
        <v>137</v>
      </c>
      <c r="D5" s="33" t="s">
        <v>138</v>
      </c>
      <c r="E5" s="33" t="s">
        <v>71</v>
      </c>
      <c r="F5" s="33" t="s">
        <v>124</v>
      </c>
      <c r="G5" s="33" t="s">
        <v>132</v>
      </c>
      <c r="H5" s="34">
        <v>44819</v>
      </c>
      <c r="I5" s="16">
        <v>65500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EB8C-A2B0-4715-AEF0-E50F8732AB43}">
  <dimension ref="A1:P27"/>
  <sheetViews>
    <sheetView topLeftCell="A7" workbookViewId="0">
      <selection activeCell="B3" sqref="B3"/>
    </sheetView>
  </sheetViews>
  <sheetFormatPr defaultColWidth="8.85546875" defaultRowHeight="18" x14ac:dyDescent="0.25"/>
  <cols>
    <col min="1" max="1" width="17.5703125" style="2" bestFit="1" customWidth="1"/>
    <col min="2" max="2" width="13.28515625" style="2" customWidth="1"/>
    <col min="3" max="3" width="14.7109375" style="2" customWidth="1"/>
    <col min="4" max="4" width="16.7109375" style="2" customWidth="1"/>
    <col min="5" max="5" width="9.85546875" style="2" customWidth="1"/>
    <col min="6" max="6" width="29.85546875" style="2" bestFit="1" customWidth="1"/>
    <col min="7" max="7" width="9.140625" style="2" customWidth="1"/>
    <col min="8" max="8" width="10.85546875" style="2" customWidth="1"/>
    <col min="9" max="16384" width="8.85546875" style="2"/>
  </cols>
  <sheetData>
    <row r="1" spans="1:16" ht="23.25" x14ac:dyDescent="0.35">
      <c r="A1" s="10" t="s">
        <v>59</v>
      </c>
      <c r="B1" s="11"/>
      <c r="C1" s="11"/>
      <c r="D1" s="11"/>
      <c r="E1" s="11"/>
      <c r="F1" s="11"/>
      <c r="G1" s="11"/>
      <c r="I1" s="11"/>
      <c r="J1" s="11"/>
      <c r="K1" s="11"/>
      <c r="L1" s="11"/>
      <c r="M1" s="11"/>
      <c r="N1" s="11"/>
      <c r="O1" s="11"/>
      <c r="P1" s="11"/>
    </row>
    <row r="2" spans="1:16" ht="18.75" x14ac:dyDescent="0.3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11"/>
      <c r="J2" s="12" t="s">
        <v>0</v>
      </c>
      <c r="K2" s="11"/>
      <c r="L2" s="11"/>
      <c r="M2" s="11"/>
      <c r="N2" s="11"/>
      <c r="O2" s="11"/>
      <c r="P2" s="11"/>
    </row>
    <row r="3" spans="1:16" ht="18.75" x14ac:dyDescent="0.3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>
        <v>21401</v>
      </c>
      <c r="H3" s="2">
        <v>45300</v>
      </c>
      <c r="I3" s="11"/>
      <c r="J3" s="11" t="s">
        <v>74</v>
      </c>
      <c r="K3" s="11"/>
      <c r="L3" s="11"/>
      <c r="M3" s="11"/>
      <c r="N3" s="11"/>
      <c r="O3" s="11"/>
      <c r="P3" s="11"/>
    </row>
    <row r="4" spans="1:16" ht="18.75" x14ac:dyDescent="0.3">
      <c r="A4" s="2" t="s">
        <v>75</v>
      </c>
      <c r="B4" s="2" t="s">
        <v>76</v>
      </c>
      <c r="C4" s="2" t="s">
        <v>77</v>
      </c>
      <c r="D4" s="2" t="s">
        <v>78</v>
      </c>
      <c r="E4" s="2" t="s">
        <v>72</v>
      </c>
      <c r="F4" s="2" t="s">
        <v>79</v>
      </c>
      <c r="G4" s="2">
        <v>22255</v>
      </c>
      <c r="H4" s="2">
        <v>75500</v>
      </c>
      <c r="I4" s="11"/>
      <c r="J4" s="11" t="s">
        <v>80</v>
      </c>
      <c r="K4" s="11"/>
      <c r="L4" s="11"/>
      <c r="M4" s="11"/>
      <c r="N4" s="11"/>
      <c r="O4" s="11"/>
      <c r="P4" s="11"/>
    </row>
    <row r="5" spans="1:16" ht="18.75" x14ac:dyDescent="0.3">
      <c r="A5" s="2" t="s">
        <v>81</v>
      </c>
      <c r="B5" s="2" t="s">
        <v>69</v>
      </c>
      <c r="C5" s="2" t="s">
        <v>82</v>
      </c>
      <c r="D5" s="2" t="s">
        <v>83</v>
      </c>
      <c r="E5" s="2" t="s">
        <v>72</v>
      </c>
      <c r="F5" s="2" t="s">
        <v>73</v>
      </c>
      <c r="G5" s="2">
        <v>23261</v>
      </c>
      <c r="H5" s="2">
        <v>35500</v>
      </c>
      <c r="I5" s="11"/>
      <c r="J5" s="11" t="s">
        <v>84</v>
      </c>
      <c r="K5" s="11"/>
      <c r="L5" s="11"/>
      <c r="M5" s="11"/>
      <c r="N5" s="11"/>
      <c r="O5" s="11"/>
      <c r="P5" s="11"/>
    </row>
    <row r="6" spans="1:16" ht="18.75" x14ac:dyDescent="0.3">
      <c r="A6" s="2" t="s">
        <v>85</v>
      </c>
      <c r="B6" s="2" t="s">
        <v>86</v>
      </c>
      <c r="C6" s="2">
        <v>129675</v>
      </c>
      <c r="D6" s="2" t="s">
        <v>83</v>
      </c>
      <c r="E6" s="2" t="s">
        <v>87</v>
      </c>
      <c r="F6" s="2" t="s">
        <v>79</v>
      </c>
      <c r="G6" s="2">
        <v>24077</v>
      </c>
      <c r="H6" s="2">
        <v>38500</v>
      </c>
      <c r="I6" s="11"/>
      <c r="J6" s="11" t="s">
        <v>88</v>
      </c>
      <c r="K6" s="11"/>
      <c r="L6" s="11"/>
      <c r="M6" s="11"/>
      <c r="N6" s="11"/>
      <c r="O6" s="11"/>
      <c r="P6" s="11"/>
    </row>
    <row r="7" spans="1:16" ht="18.75" x14ac:dyDescent="0.3">
      <c r="A7" s="2" t="s">
        <v>89</v>
      </c>
      <c r="B7" s="2" t="s">
        <v>90</v>
      </c>
      <c r="C7" s="2" t="s">
        <v>91</v>
      </c>
      <c r="D7" s="2" t="s">
        <v>78</v>
      </c>
      <c r="E7" s="2" t="s">
        <v>87</v>
      </c>
      <c r="F7" s="2" t="s">
        <v>73</v>
      </c>
      <c r="G7" s="2">
        <v>21080</v>
      </c>
      <c r="H7" s="2">
        <v>65400</v>
      </c>
      <c r="I7" s="11"/>
      <c r="J7" s="11"/>
      <c r="K7" s="11"/>
      <c r="L7" s="11"/>
      <c r="M7" s="11"/>
      <c r="N7" s="11"/>
      <c r="O7" s="11"/>
      <c r="P7" s="11"/>
    </row>
    <row r="8" spans="1:16" ht="18.75" x14ac:dyDescent="0.3">
      <c r="A8" s="2" t="s">
        <v>92</v>
      </c>
      <c r="C8" s="2" t="s">
        <v>93</v>
      </c>
      <c r="D8" s="2" t="s">
        <v>71</v>
      </c>
      <c r="E8" s="2" t="s">
        <v>87</v>
      </c>
      <c r="F8" s="2" t="s">
        <v>79</v>
      </c>
      <c r="G8" s="2">
        <v>21936</v>
      </c>
      <c r="H8" s="2">
        <v>51550</v>
      </c>
      <c r="I8" s="11"/>
      <c r="J8" s="11"/>
      <c r="K8" s="11"/>
      <c r="L8" s="11"/>
      <c r="M8" s="11"/>
      <c r="N8" s="11"/>
      <c r="O8" s="11"/>
      <c r="P8" s="11"/>
    </row>
    <row r="9" spans="1:16" ht="18.75" x14ac:dyDescent="0.3">
      <c r="A9" s="2" t="s">
        <v>94</v>
      </c>
      <c r="B9" s="2" t="s">
        <v>95</v>
      </c>
      <c r="C9" s="2" t="s">
        <v>96</v>
      </c>
      <c r="D9" s="2" t="s">
        <v>78</v>
      </c>
      <c r="E9" s="2" t="s">
        <v>87</v>
      </c>
      <c r="F9" s="2" t="s">
        <v>79</v>
      </c>
      <c r="G9" s="2">
        <v>22111</v>
      </c>
      <c r="H9" s="2">
        <v>38580</v>
      </c>
      <c r="I9" s="11"/>
      <c r="J9" s="11"/>
      <c r="K9" s="11"/>
      <c r="L9" s="11"/>
      <c r="M9" s="11"/>
      <c r="N9" s="11"/>
      <c r="O9" s="11"/>
      <c r="P9" s="11"/>
    </row>
    <row r="10" spans="1:16" ht="18.75" x14ac:dyDescent="0.3">
      <c r="A10" s="2" t="s">
        <v>97</v>
      </c>
      <c r="B10" s="2" t="s">
        <v>98</v>
      </c>
      <c r="C10" s="2" t="s">
        <v>99</v>
      </c>
      <c r="D10" s="2" t="s">
        <v>78</v>
      </c>
      <c r="E10" s="2" t="s">
        <v>87</v>
      </c>
      <c r="F10" s="2" t="s">
        <v>100</v>
      </c>
      <c r="G10" s="2">
        <v>22928</v>
      </c>
      <c r="H10" s="2">
        <v>72500</v>
      </c>
      <c r="I10" s="11"/>
      <c r="J10" s="11"/>
      <c r="K10" s="11"/>
      <c r="L10" s="11"/>
      <c r="M10" s="11"/>
      <c r="N10" s="11"/>
      <c r="O10" s="11"/>
      <c r="P10" s="11"/>
    </row>
    <row r="11" spans="1:16" ht="18.75" x14ac:dyDescent="0.3">
      <c r="A11" s="2" t="s">
        <v>101</v>
      </c>
      <c r="C11" s="2" t="s">
        <v>102</v>
      </c>
      <c r="D11" s="2" t="s">
        <v>78</v>
      </c>
      <c r="E11" s="2" t="s">
        <v>87</v>
      </c>
      <c r="F11" s="2" t="s">
        <v>103</v>
      </c>
      <c r="G11" s="2">
        <v>23296</v>
      </c>
      <c r="H11" s="2">
        <v>65500</v>
      </c>
      <c r="I11" s="11"/>
      <c r="J11" s="11"/>
      <c r="K11" s="11"/>
      <c r="L11" s="11"/>
      <c r="M11" s="11"/>
      <c r="N11" s="11"/>
      <c r="O11" s="11"/>
      <c r="P11" s="11"/>
    </row>
    <row r="12" spans="1:16" ht="18.75" x14ac:dyDescent="0.3">
      <c r="A12" s="2" t="s">
        <v>104</v>
      </c>
      <c r="C12" s="2">
        <v>508967</v>
      </c>
      <c r="D12" s="2" t="s">
        <v>83</v>
      </c>
      <c r="E12" s="2" t="s">
        <v>87</v>
      </c>
      <c r="F12" s="2" t="s">
        <v>103</v>
      </c>
      <c r="G12" s="2">
        <v>20891</v>
      </c>
      <c r="H12" s="2">
        <v>45300</v>
      </c>
      <c r="I12" s="11"/>
      <c r="J12" s="11"/>
      <c r="K12" s="11"/>
      <c r="L12" s="11"/>
      <c r="M12" s="11"/>
      <c r="N12" s="11"/>
      <c r="O12" s="11"/>
      <c r="P12" s="11"/>
    </row>
    <row r="13" spans="1:16" ht="18.75" x14ac:dyDescent="0.3">
      <c r="A13" s="2" t="s">
        <v>105</v>
      </c>
      <c r="B13" s="2" t="s">
        <v>106</v>
      </c>
      <c r="C13" s="2">
        <v>500128</v>
      </c>
      <c r="D13" s="2" t="s">
        <v>107</v>
      </c>
      <c r="E13" s="2" t="s">
        <v>87</v>
      </c>
      <c r="F13" s="2" t="s">
        <v>79</v>
      </c>
      <c r="G13" s="2">
        <v>22856</v>
      </c>
      <c r="H13" s="2">
        <v>49500</v>
      </c>
      <c r="I13" s="11"/>
      <c r="J13" s="11"/>
      <c r="K13" s="11"/>
      <c r="L13" s="11"/>
      <c r="M13" s="11"/>
      <c r="N13" s="11"/>
      <c r="O13" s="11"/>
      <c r="P13" s="11"/>
    </row>
    <row r="14" spans="1:16" ht="18.75" x14ac:dyDescent="0.3">
      <c r="A14" s="2" t="s">
        <v>108</v>
      </c>
      <c r="B14" s="2" t="s">
        <v>109</v>
      </c>
      <c r="C14" s="2" t="s">
        <v>110</v>
      </c>
      <c r="D14" s="2" t="s">
        <v>71</v>
      </c>
      <c r="E14" s="2" t="s">
        <v>111</v>
      </c>
      <c r="F14" s="2" t="s">
        <v>79</v>
      </c>
      <c r="G14" s="2">
        <v>20309</v>
      </c>
      <c r="H14" s="2">
        <v>58500</v>
      </c>
      <c r="I14" s="11"/>
      <c r="J14" s="11"/>
      <c r="K14" s="11"/>
      <c r="L14" s="11"/>
      <c r="M14" s="11"/>
      <c r="N14" s="11"/>
      <c r="O14" s="11"/>
      <c r="P14" s="11"/>
    </row>
    <row r="15" spans="1:16" ht="18.75" x14ac:dyDescent="0.3">
      <c r="A15" s="2" t="s">
        <v>112</v>
      </c>
      <c r="B15" s="2" t="s">
        <v>69</v>
      </c>
      <c r="C15" s="2" t="s">
        <v>113</v>
      </c>
      <c r="D15" s="2" t="s">
        <v>78</v>
      </c>
      <c r="E15" s="2" t="s">
        <v>111</v>
      </c>
      <c r="F15" s="2" t="s">
        <v>73</v>
      </c>
      <c r="G15" s="2">
        <v>21253</v>
      </c>
      <c r="H15" s="2">
        <v>56000</v>
      </c>
      <c r="I15" s="11"/>
      <c r="J15" s="11"/>
      <c r="K15" s="11"/>
      <c r="L15" s="11"/>
      <c r="M15" s="11"/>
      <c r="N15" s="11"/>
      <c r="O15" s="11"/>
      <c r="P15" s="11"/>
    </row>
    <row r="16" spans="1:16" ht="18.75" x14ac:dyDescent="0.3">
      <c r="A16" s="2" t="s">
        <v>114</v>
      </c>
      <c r="B16" s="2" t="s">
        <v>115</v>
      </c>
      <c r="C16" s="2" t="s">
        <v>116</v>
      </c>
      <c r="D16" s="2" t="s">
        <v>71</v>
      </c>
      <c r="E16" s="2" t="s">
        <v>111</v>
      </c>
      <c r="F16" s="2" t="s">
        <v>117</v>
      </c>
      <c r="G16" s="2">
        <v>20315</v>
      </c>
      <c r="H16" s="2">
        <v>75800</v>
      </c>
      <c r="I16" s="11"/>
      <c r="J16" s="11"/>
      <c r="K16" s="11"/>
      <c r="L16" s="11"/>
      <c r="M16" s="11"/>
      <c r="N16" s="11"/>
      <c r="O16" s="11"/>
      <c r="P16" s="11"/>
    </row>
    <row r="17" spans="1:16" ht="18.75" x14ac:dyDescent="0.3">
      <c r="A17" s="2" t="s">
        <v>118</v>
      </c>
      <c r="B17" s="2" t="s">
        <v>119</v>
      </c>
      <c r="C17" s="2">
        <v>178654</v>
      </c>
      <c r="D17" s="2" t="s">
        <v>78</v>
      </c>
      <c r="E17" s="2" t="s">
        <v>111</v>
      </c>
      <c r="F17" s="2" t="s">
        <v>117</v>
      </c>
      <c r="G17" s="2">
        <v>21036</v>
      </c>
      <c r="H17" s="2">
        <v>73300</v>
      </c>
      <c r="I17" s="11"/>
      <c r="J17" s="11"/>
      <c r="K17" s="11"/>
      <c r="L17" s="11"/>
      <c r="M17" s="11"/>
      <c r="N17" s="11"/>
      <c r="O17" s="11"/>
      <c r="P17" s="11"/>
    </row>
    <row r="18" spans="1:16" ht="18.75" x14ac:dyDescent="0.3">
      <c r="A18" s="2" t="s">
        <v>114</v>
      </c>
      <c r="B18" s="2" t="s">
        <v>120</v>
      </c>
      <c r="C18" s="2">
        <v>104057</v>
      </c>
      <c r="D18" s="2" t="s">
        <v>78</v>
      </c>
      <c r="E18" s="2" t="s">
        <v>111</v>
      </c>
      <c r="F18" s="2" t="s">
        <v>121</v>
      </c>
      <c r="G18" s="2">
        <v>22688</v>
      </c>
      <c r="H18" s="2">
        <v>44500</v>
      </c>
      <c r="I18" s="11"/>
      <c r="J18" s="11"/>
      <c r="K18" s="11"/>
      <c r="L18" s="11"/>
      <c r="M18" s="11"/>
      <c r="N18" s="11"/>
      <c r="O18" s="11"/>
      <c r="P18" s="11"/>
    </row>
    <row r="19" spans="1:16" ht="18.75" x14ac:dyDescent="0.3">
      <c r="A19" s="2" t="s">
        <v>122</v>
      </c>
      <c r="B19" s="2" t="s">
        <v>123</v>
      </c>
      <c r="C19" s="2">
        <v>510298</v>
      </c>
      <c r="D19" s="2" t="s">
        <v>78</v>
      </c>
      <c r="E19" s="2" t="s">
        <v>124</v>
      </c>
      <c r="F19" s="2" t="s">
        <v>79</v>
      </c>
      <c r="G19" s="2">
        <v>22414</v>
      </c>
      <c r="H19" s="2">
        <v>76000</v>
      </c>
      <c r="I19" s="11"/>
      <c r="J19" s="11"/>
      <c r="K19" s="11"/>
      <c r="L19" s="11"/>
      <c r="M19" s="11"/>
      <c r="N19" s="11"/>
      <c r="O19" s="11"/>
      <c r="P19" s="11"/>
    </row>
    <row r="20" spans="1:16" ht="18.75" x14ac:dyDescent="0.3">
      <c r="A20" s="2" t="s">
        <v>125</v>
      </c>
      <c r="B20" s="2" t="s">
        <v>126</v>
      </c>
      <c r="C20" s="2">
        <v>120356</v>
      </c>
      <c r="D20" s="2" t="s">
        <v>107</v>
      </c>
      <c r="E20" s="2" t="s">
        <v>124</v>
      </c>
      <c r="F20" s="2" t="s">
        <v>79</v>
      </c>
      <c r="G20" s="2">
        <v>21280</v>
      </c>
      <c r="H20" s="2">
        <v>67000</v>
      </c>
      <c r="I20" s="11"/>
      <c r="J20" s="11"/>
      <c r="K20" s="11"/>
      <c r="L20" s="11"/>
      <c r="M20" s="11"/>
      <c r="N20" s="11"/>
      <c r="O20" s="11"/>
      <c r="P20" s="11"/>
    </row>
    <row r="21" spans="1:16" ht="18.75" x14ac:dyDescent="0.3">
      <c r="A21" s="2" t="s">
        <v>127</v>
      </c>
      <c r="B21" s="2" t="s">
        <v>128</v>
      </c>
      <c r="C21" s="2">
        <v>110251</v>
      </c>
      <c r="D21" s="2" t="s">
        <v>78</v>
      </c>
      <c r="E21" s="2" t="s">
        <v>124</v>
      </c>
      <c r="F21" s="2" t="s">
        <v>129</v>
      </c>
      <c r="G21" s="2">
        <v>21450</v>
      </c>
      <c r="H21" s="2">
        <v>52500</v>
      </c>
      <c r="I21" s="11"/>
      <c r="J21" s="11"/>
      <c r="K21" s="11"/>
      <c r="L21" s="11"/>
      <c r="M21" s="11"/>
      <c r="N21" s="11"/>
      <c r="O21" s="11"/>
      <c r="P21" s="11"/>
    </row>
    <row r="22" spans="1:16" ht="18.75" x14ac:dyDescent="0.3">
      <c r="A22" s="2" t="s">
        <v>130</v>
      </c>
      <c r="B22" s="2" t="s">
        <v>69</v>
      </c>
      <c r="C22" s="2">
        <v>405634</v>
      </c>
      <c r="D22" s="2" t="s">
        <v>71</v>
      </c>
      <c r="E22" s="2" t="s">
        <v>124</v>
      </c>
      <c r="F22" s="2" t="s">
        <v>129</v>
      </c>
      <c r="G22" s="2">
        <v>22035</v>
      </c>
      <c r="H22" s="2">
        <v>48500</v>
      </c>
      <c r="I22" s="11"/>
      <c r="J22" s="11"/>
      <c r="K22" s="11"/>
      <c r="L22" s="11"/>
      <c r="M22" s="11"/>
      <c r="N22" s="11"/>
      <c r="O22" s="11"/>
      <c r="P22" s="11"/>
    </row>
    <row r="23" spans="1:16" ht="18.75" x14ac:dyDescent="0.3">
      <c r="A23" s="2" t="s">
        <v>131</v>
      </c>
      <c r="B23" s="2" t="s">
        <v>109</v>
      </c>
      <c r="C23" s="2">
        <v>122445</v>
      </c>
      <c r="D23" s="2" t="s">
        <v>83</v>
      </c>
      <c r="E23" s="2" t="s">
        <v>124</v>
      </c>
      <c r="F23" s="2" t="s">
        <v>132</v>
      </c>
      <c r="G23" s="2">
        <v>22231</v>
      </c>
      <c r="H23" s="2">
        <v>45350</v>
      </c>
      <c r="I23" s="11"/>
      <c r="J23" s="11"/>
      <c r="K23" s="11"/>
      <c r="L23" s="11"/>
      <c r="M23" s="11"/>
      <c r="N23" s="11"/>
      <c r="O23" s="11"/>
      <c r="P23" s="11"/>
    </row>
    <row r="24" spans="1:16" ht="18.75" x14ac:dyDescent="0.3">
      <c r="A24" s="2" t="s">
        <v>133</v>
      </c>
      <c r="B24" s="2" t="s">
        <v>134</v>
      </c>
      <c r="C24" s="2">
        <v>110456</v>
      </c>
      <c r="D24" s="2" t="s">
        <v>83</v>
      </c>
      <c r="E24" s="2" t="s">
        <v>124</v>
      </c>
      <c r="F24" s="2" t="s">
        <v>135</v>
      </c>
      <c r="G24" s="2">
        <v>25801</v>
      </c>
      <c r="H24" s="2">
        <v>62550</v>
      </c>
      <c r="I24" s="11"/>
      <c r="J24" s="11"/>
      <c r="K24" s="11"/>
      <c r="L24" s="11"/>
      <c r="M24" s="11"/>
      <c r="N24" s="11"/>
      <c r="O24" s="11"/>
      <c r="P24" s="11"/>
    </row>
    <row r="25" spans="1:16" ht="18.75" x14ac:dyDescent="0.3">
      <c r="A25" s="2" t="s">
        <v>136</v>
      </c>
      <c r="B25" s="2" t="s">
        <v>137</v>
      </c>
      <c r="C25" s="2" t="s">
        <v>138</v>
      </c>
      <c r="D25" s="2" t="s">
        <v>71</v>
      </c>
      <c r="E25" s="2" t="s">
        <v>124</v>
      </c>
      <c r="F25" s="2" t="s">
        <v>132</v>
      </c>
      <c r="G25" s="2">
        <v>25826</v>
      </c>
      <c r="H25" s="2">
        <v>65500</v>
      </c>
      <c r="I25" s="11"/>
      <c r="J25" s="11"/>
      <c r="K25" s="11"/>
      <c r="L25" s="11"/>
      <c r="M25" s="11"/>
      <c r="N25" s="11"/>
      <c r="O25" s="11"/>
      <c r="P25" s="11"/>
    </row>
    <row r="26" spans="1:16" ht="18.75" x14ac:dyDescent="0.3">
      <c r="A26" s="2" t="s">
        <v>139</v>
      </c>
      <c r="H26" s="2">
        <v>1447330</v>
      </c>
      <c r="I26" s="11"/>
      <c r="J26" s="11"/>
      <c r="K26" s="11"/>
      <c r="L26" s="11"/>
      <c r="M26" s="11"/>
      <c r="N26" s="11"/>
      <c r="O26" s="11"/>
      <c r="P26" s="11"/>
    </row>
    <row r="27" spans="1:16" ht="18.75" x14ac:dyDescent="0.3">
      <c r="I27" s="11"/>
      <c r="J27" s="11"/>
      <c r="K27" s="11"/>
      <c r="L27" s="11"/>
      <c r="M27" s="11"/>
      <c r="N27" s="11"/>
      <c r="O27" s="11"/>
      <c r="P2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FB63-C3E1-4822-82C8-C0947ED3BB96}">
  <dimension ref="A1:T73"/>
  <sheetViews>
    <sheetView topLeftCell="A39" workbookViewId="0">
      <selection activeCell="J53" sqref="J53"/>
    </sheetView>
  </sheetViews>
  <sheetFormatPr defaultColWidth="8.85546875" defaultRowHeight="18" x14ac:dyDescent="0.25"/>
  <cols>
    <col min="1" max="1" width="17.5703125" style="2" bestFit="1" customWidth="1"/>
    <col min="2" max="2" width="11.5703125" style="2" bestFit="1" customWidth="1"/>
    <col min="3" max="3" width="12.5703125" style="2" bestFit="1" customWidth="1"/>
    <col min="4" max="4" width="14.28515625" style="2" bestFit="1" customWidth="1"/>
    <col min="5" max="5" width="8" style="2" bestFit="1" customWidth="1"/>
    <col min="6" max="6" width="29.85546875" style="2" bestFit="1" customWidth="1"/>
    <col min="7" max="7" width="14.140625" style="18" bestFit="1" customWidth="1"/>
    <col min="8" max="8" width="13.7109375" style="19" bestFit="1" customWidth="1"/>
    <col min="9" max="9" width="8.85546875" style="2"/>
    <col min="10" max="10" width="18.28515625" style="2" customWidth="1"/>
    <col min="11" max="11" width="14.140625" style="2" bestFit="1" customWidth="1"/>
    <col min="12" max="12" width="12.5703125" style="2" bestFit="1" customWidth="1"/>
    <col min="13" max="13" width="13.140625" style="2" customWidth="1"/>
    <col min="14" max="14" width="8.85546875" style="2"/>
    <col min="15" max="15" width="29.85546875" style="2" bestFit="1" customWidth="1"/>
    <col min="16" max="16" width="13.28515625" style="2" bestFit="1" customWidth="1"/>
    <col min="17" max="16384" width="8.85546875" style="2"/>
  </cols>
  <sheetData>
    <row r="1" spans="1:19" x14ac:dyDescent="0.25">
      <c r="D1" s="37" t="s">
        <v>5</v>
      </c>
    </row>
    <row r="2" spans="1:19" x14ac:dyDescent="0.25">
      <c r="A2" s="13" t="s">
        <v>60</v>
      </c>
      <c r="B2" s="13" t="s">
        <v>61</v>
      </c>
      <c r="C2" s="13" t="s">
        <v>62</v>
      </c>
      <c r="D2" s="13" t="s">
        <v>63</v>
      </c>
      <c r="E2" s="13" t="s">
        <v>64</v>
      </c>
      <c r="F2" s="13" t="s">
        <v>65</v>
      </c>
      <c r="G2" s="13" t="s">
        <v>165</v>
      </c>
      <c r="H2" s="15" t="s">
        <v>67</v>
      </c>
      <c r="J2" s="37" t="s">
        <v>159</v>
      </c>
    </row>
    <row r="3" spans="1:19" x14ac:dyDescent="0.25">
      <c r="A3" s="16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16" t="s">
        <v>73</v>
      </c>
      <c r="G3" s="31">
        <v>44047</v>
      </c>
      <c r="H3" s="17">
        <v>45300</v>
      </c>
      <c r="J3" s="2" t="s">
        <v>140</v>
      </c>
    </row>
    <row r="4" spans="1:19" x14ac:dyDescent="0.25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72</v>
      </c>
      <c r="F4" s="16" t="s">
        <v>79</v>
      </c>
      <c r="G4" s="31">
        <v>45265</v>
      </c>
      <c r="H4" s="17">
        <v>75500</v>
      </c>
    </row>
    <row r="5" spans="1:19" x14ac:dyDescent="0.25">
      <c r="A5" s="16" t="s">
        <v>81</v>
      </c>
      <c r="B5" s="16" t="s">
        <v>69</v>
      </c>
      <c r="C5" s="16" t="s">
        <v>82</v>
      </c>
      <c r="D5" s="16" t="s">
        <v>83</v>
      </c>
      <c r="E5" s="16" t="s">
        <v>72</v>
      </c>
      <c r="F5" s="16" t="s">
        <v>73</v>
      </c>
      <c r="G5" s="31">
        <v>44446</v>
      </c>
      <c r="H5" s="17">
        <v>35500</v>
      </c>
      <c r="J5" s="14" t="s">
        <v>64</v>
      </c>
      <c r="L5" s="13" t="s">
        <v>60</v>
      </c>
      <c r="M5" s="13" t="s">
        <v>61</v>
      </c>
      <c r="N5" s="13" t="s">
        <v>62</v>
      </c>
      <c r="O5" s="13" t="s">
        <v>63</v>
      </c>
      <c r="P5" s="13" t="s">
        <v>64</v>
      </c>
      <c r="Q5" s="13" t="s">
        <v>65</v>
      </c>
      <c r="R5" s="13" t="s">
        <v>165</v>
      </c>
      <c r="S5" s="15" t="s">
        <v>67</v>
      </c>
    </row>
    <row r="6" spans="1:19" x14ac:dyDescent="0.25">
      <c r="A6" s="16" t="s">
        <v>85</v>
      </c>
      <c r="B6" s="16" t="s">
        <v>86</v>
      </c>
      <c r="C6" s="16">
        <v>129675</v>
      </c>
      <c r="D6" s="16" t="s">
        <v>83</v>
      </c>
      <c r="E6" s="16" t="s">
        <v>87</v>
      </c>
      <c r="F6" s="16" t="s">
        <v>79</v>
      </c>
      <c r="G6" s="31">
        <v>44531</v>
      </c>
      <c r="H6" s="17">
        <v>38500</v>
      </c>
      <c r="J6" s="16" t="s">
        <v>87</v>
      </c>
      <c r="L6" s="16" t="s">
        <v>85</v>
      </c>
      <c r="M6" s="16" t="s">
        <v>86</v>
      </c>
      <c r="N6" s="16">
        <v>129675</v>
      </c>
      <c r="O6" s="16" t="s">
        <v>83</v>
      </c>
      <c r="P6" s="16" t="s">
        <v>87</v>
      </c>
      <c r="Q6" s="16" t="s">
        <v>79</v>
      </c>
      <c r="R6" s="31">
        <v>44531</v>
      </c>
      <c r="S6" s="17">
        <v>38500</v>
      </c>
    </row>
    <row r="7" spans="1:19" x14ac:dyDescent="0.25">
      <c r="A7" s="16" t="s">
        <v>89</v>
      </c>
      <c r="B7" s="16" t="s">
        <v>90</v>
      </c>
      <c r="C7" s="16" t="s">
        <v>91</v>
      </c>
      <c r="D7" s="16" t="s">
        <v>78</v>
      </c>
      <c r="E7" s="16" t="s">
        <v>87</v>
      </c>
      <c r="F7" s="16" t="s">
        <v>73</v>
      </c>
      <c r="G7" s="31">
        <v>45186</v>
      </c>
      <c r="H7" s="17">
        <v>65400</v>
      </c>
      <c r="L7" s="16" t="s">
        <v>89</v>
      </c>
      <c r="M7" s="16" t="s">
        <v>90</v>
      </c>
      <c r="N7" s="16" t="s">
        <v>91</v>
      </c>
      <c r="O7" s="16" t="s">
        <v>78</v>
      </c>
      <c r="P7" s="16" t="s">
        <v>87</v>
      </c>
      <c r="Q7" s="16" t="s">
        <v>73</v>
      </c>
      <c r="R7" s="31">
        <v>45186</v>
      </c>
      <c r="S7" s="17">
        <v>65400</v>
      </c>
    </row>
    <row r="8" spans="1:19" x14ac:dyDescent="0.25">
      <c r="A8" s="16" t="s">
        <v>92</v>
      </c>
      <c r="B8" s="16"/>
      <c r="C8" s="16" t="s">
        <v>93</v>
      </c>
      <c r="D8" s="16" t="s">
        <v>71</v>
      </c>
      <c r="E8" s="16" t="s">
        <v>87</v>
      </c>
      <c r="F8" s="16" t="s">
        <v>79</v>
      </c>
      <c r="G8" s="31">
        <v>44582</v>
      </c>
      <c r="H8" s="17">
        <v>51550</v>
      </c>
      <c r="L8" s="16" t="s">
        <v>92</v>
      </c>
      <c r="M8" s="16"/>
      <c r="N8" s="16" t="s">
        <v>93</v>
      </c>
      <c r="O8" s="16" t="s">
        <v>71</v>
      </c>
      <c r="P8" s="16" t="s">
        <v>87</v>
      </c>
      <c r="Q8" s="16" t="s">
        <v>79</v>
      </c>
      <c r="R8" s="31">
        <v>44582</v>
      </c>
      <c r="S8" s="17">
        <v>51550</v>
      </c>
    </row>
    <row r="9" spans="1:19" x14ac:dyDescent="0.25">
      <c r="A9" s="16" t="s">
        <v>94</v>
      </c>
      <c r="B9" s="16" t="s">
        <v>95</v>
      </c>
      <c r="C9" s="16" t="s">
        <v>96</v>
      </c>
      <c r="D9" s="16" t="s">
        <v>78</v>
      </c>
      <c r="E9" s="16" t="s">
        <v>87</v>
      </c>
      <c r="F9" s="16" t="s">
        <v>79</v>
      </c>
      <c r="G9" s="31">
        <v>45121</v>
      </c>
      <c r="H9" s="17">
        <v>38580</v>
      </c>
      <c r="L9" s="16" t="s">
        <v>94</v>
      </c>
      <c r="M9" s="16" t="s">
        <v>95</v>
      </c>
      <c r="N9" s="16" t="s">
        <v>96</v>
      </c>
      <c r="O9" s="16" t="s">
        <v>78</v>
      </c>
      <c r="P9" s="16" t="s">
        <v>87</v>
      </c>
      <c r="Q9" s="16" t="s">
        <v>79</v>
      </c>
      <c r="R9" s="31">
        <v>45121</v>
      </c>
      <c r="S9" s="17">
        <v>38580</v>
      </c>
    </row>
    <row r="10" spans="1:19" x14ac:dyDescent="0.25">
      <c r="A10" s="16" t="s">
        <v>97</v>
      </c>
      <c r="B10" s="16" t="s">
        <v>98</v>
      </c>
      <c r="C10" s="16" t="s">
        <v>99</v>
      </c>
      <c r="D10" s="16" t="s">
        <v>78</v>
      </c>
      <c r="E10" s="16" t="s">
        <v>87</v>
      </c>
      <c r="F10" s="16" t="s">
        <v>100</v>
      </c>
      <c r="G10" s="31">
        <v>45208</v>
      </c>
      <c r="H10" s="17">
        <v>72500</v>
      </c>
      <c r="L10" s="16" t="s">
        <v>97</v>
      </c>
      <c r="M10" s="16" t="s">
        <v>98</v>
      </c>
      <c r="N10" s="16" t="s">
        <v>99</v>
      </c>
      <c r="O10" s="16" t="s">
        <v>78</v>
      </c>
      <c r="P10" s="16" t="s">
        <v>87</v>
      </c>
      <c r="Q10" s="16" t="s">
        <v>100</v>
      </c>
      <c r="R10" s="31">
        <v>45208</v>
      </c>
      <c r="S10" s="17">
        <v>72500</v>
      </c>
    </row>
    <row r="11" spans="1:19" x14ac:dyDescent="0.25">
      <c r="A11" s="16" t="s">
        <v>101</v>
      </c>
      <c r="B11" s="16"/>
      <c r="C11" s="16" t="s">
        <v>102</v>
      </c>
      <c r="D11" s="16" t="s">
        <v>78</v>
      </c>
      <c r="E11" s="16" t="s">
        <v>87</v>
      </c>
      <c r="F11" s="16" t="s">
        <v>103</v>
      </c>
      <c r="G11" s="31">
        <v>45211</v>
      </c>
      <c r="H11" s="17">
        <v>65500</v>
      </c>
      <c r="L11" s="16" t="s">
        <v>101</v>
      </c>
      <c r="M11" s="16"/>
      <c r="N11" s="16" t="s">
        <v>102</v>
      </c>
      <c r="O11" s="16" t="s">
        <v>78</v>
      </c>
      <c r="P11" s="16" t="s">
        <v>87</v>
      </c>
      <c r="Q11" s="16" t="s">
        <v>103</v>
      </c>
      <c r="R11" s="31">
        <v>45211</v>
      </c>
      <c r="S11" s="17">
        <v>65500</v>
      </c>
    </row>
    <row r="12" spans="1:19" x14ac:dyDescent="0.25">
      <c r="A12" s="16" t="s">
        <v>104</v>
      </c>
      <c r="B12" s="16"/>
      <c r="C12" s="16">
        <v>508967</v>
      </c>
      <c r="D12" s="16" t="s">
        <v>83</v>
      </c>
      <c r="E12" s="16" t="s">
        <v>87</v>
      </c>
      <c r="F12" s="16" t="s">
        <v>103</v>
      </c>
      <c r="G12" s="31">
        <v>44632</v>
      </c>
      <c r="H12" s="17">
        <v>45300</v>
      </c>
      <c r="L12" s="16" t="s">
        <v>104</v>
      </c>
      <c r="M12" s="16"/>
      <c r="N12" s="16">
        <v>508967</v>
      </c>
      <c r="O12" s="16" t="s">
        <v>83</v>
      </c>
      <c r="P12" s="16" t="s">
        <v>87</v>
      </c>
      <c r="Q12" s="16" t="s">
        <v>103</v>
      </c>
      <c r="R12" s="31">
        <v>44632</v>
      </c>
      <c r="S12" s="17">
        <v>45300</v>
      </c>
    </row>
    <row r="13" spans="1:19" x14ac:dyDescent="0.25">
      <c r="A13" s="16" t="s">
        <v>105</v>
      </c>
      <c r="B13" s="16" t="s">
        <v>106</v>
      </c>
      <c r="C13" s="16">
        <v>500128</v>
      </c>
      <c r="D13" s="16" t="s">
        <v>107</v>
      </c>
      <c r="E13" s="16" t="s">
        <v>87</v>
      </c>
      <c r="F13" s="16" t="s">
        <v>79</v>
      </c>
      <c r="G13" s="31">
        <v>44771</v>
      </c>
      <c r="H13" s="17">
        <v>49500</v>
      </c>
      <c r="L13" s="16" t="s">
        <v>105</v>
      </c>
      <c r="M13" s="16" t="s">
        <v>106</v>
      </c>
      <c r="N13" s="16">
        <v>500128</v>
      </c>
      <c r="O13" s="16" t="s">
        <v>107</v>
      </c>
      <c r="P13" s="16" t="s">
        <v>87</v>
      </c>
      <c r="Q13" s="16" t="s">
        <v>79</v>
      </c>
      <c r="R13" s="31">
        <v>44771</v>
      </c>
      <c r="S13" s="17">
        <v>49500</v>
      </c>
    </row>
    <row r="14" spans="1:19" x14ac:dyDescent="0.25">
      <c r="A14" s="16" t="s">
        <v>108</v>
      </c>
      <c r="B14" s="16" t="s">
        <v>109</v>
      </c>
      <c r="C14" s="16" t="s">
        <v>110</v>
      </c>
      <c r="D14" s="16" t="s">
        <v>71</v>
      </c>
      <c r="E14" s="16" t="s">
        <v>111</v>
      </c>
      <c r="F14" s="16" t="s">
        <v>79</v>
      </c>
      <c r="G14" s="31">
        <v>45146</v>
      </c>
      <c r="H14" s="17">
        <v>58500</v>
      </c>
    </row>
    <row r="15" spans="1:19" x14ac:dyDescent="0.25">
      <c r="A15" s="16" t="s">
        <v>112</v>
      </c>
      <c r="B15" s="16" t="s">
        <v>69</v>
      </c>
      <c r="C15" s="16" t="s">
        <v>113</v>
      </c>
      <c r="D15" s="16" t="s">
        <v>78</v>
      </c>
      <c r="E15" s="16" t="s">
        <v>111</v>
      </c>
      <c r="F15" s="16" t="s">
        <v>73</v>
      </c>
      <c r="G15" s="31">
        <v>44264</v>
      </c>
      <c r="H15" s="17">
        <v>56000</v>
      </c>
    </row>
    <row r="16" spans="1:19" x14ac:dyDescent="0.25">
      <c r="A16" s="16" t="s">
        <v>114</v>
      </c>
      <c r="B16" s="16" t="s">
        <v>115</v>
      </c>
      <c r="C16" s="16" t="s">
        <v>116</v>
      </c>
      <c r="D16" s="16" t="s">
        <v>71</v>
      </c>
      <c r="E16" s="16" t="s">
        <v>111</v>
      </c>
      <c r="F16" s="16" t="s">
        <v>117</v>
      </c>
      <c r="G16" s="31">
        <v>45152</v>
      </c>
      <c r="H16" s="17">
        <v>75800</v>
      </c>
    </row>
    <row r="17" spans="1:20" x14ac:dyDescent="0.25">
      <c r="A17" s="16" t="s">
        <v>118</v>
      </c>
      <c r="B17" s="16" t="s">
        <v>119</v>
      </c>
      <c r="C17" s="16">
        <v>178654</v>
      </c>
      <c r="D17" s="16" t="s">
        <v>78</v>
      </c>
      <c r="E17" s="16" t="s">
        <v>111</v>
      </c>
      <c r="F17" s="16" t="s">
        <v>117</v>
      </c>
      <c r="G17" s="31">
        <v>44412</v>
      </c>
      <c r="H17" s="17">
        <v>73300</v>
      </c>
    </row>
    <row r="18" spans="1:20" x14ac:dyDescent="0.25">
      <c r="A18" s="16" t="s">
        <v>114</v>
      </c>
      <c r="B18" s="16" t="s">
        <v>120</v>
      </c>
      <c r="C18" s="16">
        <v>104057</v>
      </c>
      <c r="D18" s="16" t="s">
        <v>78</v>
      </c>
      <c r="E18" s="16" t="s">
        <v>111</v>
      </c>
      <c r="F18" s="16" t="s">
        <v>121</v>
      </c>
      <c r="G18" s="31">
        <v>44968</v>
      </c>
      <c r="H18" s="17">
        <v>44500</v>
      </c>
    </row>
    <row r="19" spans="1:20" x14ac:dyDescent="0.25">
      <c r="A19" s="16" t="s">
        <v>122</v>
      </c>
      <c r="B19" s="16" t="s">
        <v>123</v>
      </c>
      <c r="C19" s="16">
        <v>510298</v>
      </c>
      <c r="D19" s="16" t="s">
        <v>78</v>
      </c>
      <c r="E19" s="16" t="s">
        <v>124</v>
      </c>
      <c r="F19" s="16" t="s">
        <v>79</v>
      </c>
      <c r="G19" s="31">
        <v>45059</v>
      </c>
      <c r="H19" s="17">
        <v>76000</v>
      </c>
    </row>
    <row r="20" spans="1:20" x14ac:dyDescent="0.25">
      <c r="A20" s="16" t="s">
        <v>125</v>
      </c>
      <c r="B20" s="16" t="s">
        <v>126</v>
      </c>
      <c r="C20" s="16">
        <v>120356</v>
      </c>
      <c r="D20" s="16" t="s">
        <v>107</v>
      </c>
      <c r="E20" s="16" t="s">
        <v>124</v>
      </c>
      <c r="F20" s="16" t="s">
        <v>79</v>
      </c>
      <c r="G20" s="31">
        <v>43926</v>
      </c>
      <c r="H20" s="17">
        <v>67000</v>
      </c>
    </row>
    <row r="21" spans="1:20" x14ac:dyDescent="0.25">
      <c r="A21" s="16" t="s">
        <v>127</v>
      </c>
      <c r="B21" s="16" t="s">
        <v>128</v>
      </c>
      <c r="C21" s="16">
        <v>110251</v>
      </c>
      <c r="D21" s="16" t="s">
        <v>78</v>
      </c>
      <c r="E21" s="16" t="s">
        <v>124</v>
      </c>
      <c r="F21" s="16" t="s">
        <v>129</v>
      </c>
      <c r="G21" s="31">
        <v>44096</v>
      </c>
      <c r="H21" s="17">
        <v>52500</v>
      </c>
      <c r="J21" s="37" t="s">
        <v>160</v>
      </c>
    </row>
    <row r="22" spans="1:20" x14ac:dyDescent="0.25">
      <c r="A22" s="16" t="s">
        <v>130</v>
      </c>
      <c r="B22" s="16" t="s">
        <v>69</v>
      </c>
      <c r="C22" s="16">
        <v>405634</v>
      </c>
      <c r="D22" s="16" t="s">
        <v>71</v>
      </c>
      <c r="E22" s="16" t="s">
        <v>124</v>
      </c>
      <c r="F22" s="16" t="s">
        <v>129</v>
      </c>
      <c r="G22" s="31">
        <v>44315</v>
      </c>
      <c r="H22" s="17">
        <v>48500</v>
      </c>
      <c r="J22" s="2" t="s">
        <v>163</v>
      </c>
    </row>
    <row r="23" spans="1:20" x14ac:dyDescent="0.25">
      <c r="A23" s="16" t="s">
        <v>131</v>
      </c>
      <c r="B23" s="16" t="s">
        <v>109</v>
      </c>
      <c r="C23" s="16">
        <v>122445</v>
      </c>
      <c r="D23" s="16" t="s">
        <v>83</v>
      </c>
      <c r="E23" s="16" t="s">
        <v>124</v>
      </c>
      <c r="F23" s="16" t="s">
        <v>132</v>
      </c>
      <c r="G23" s="31">
        <v>44511</v>
      </c>
      <c r="H23" s="17">
        <v>45350</v>
      </c>
    </row>
    <row r="24" spans="1:20" x14ac:dyDescent="0.25">
      <c r="A24" s="16" t="s">
        <v>133</v>
      </c>
      <c r="B24" s="16" t="s">
        <v>134</v>
      </c>
      <c r="C24" s="16">
        <v>110456</v>
      </c>
      <c r="D24" s="16" t="s">
        <v>83</v>
      </c>
      <c r="E24" s="16" t="s">
        <v>124</v>
      </c>
      <c r="F24" s="16" t="s">
        <v>135</v>
      </c>
      <c r="G24" s="31">
        <v>44794</v>
      </c>
      <c r="H24" s="17">
        <v>62550</v>
      </c>
      <c r="J24" s="14" t="s">
        <v>64</v>
      </c>
      <c r="K24" s="14" t="s">
        <v>141</v>
      </c>
      <c r="M24" s="13" t="s">
        <v>60</v>
      </c>
      <c r="N24" s="13" t="s">
        <v>61</v>
      </c>
      <c r="O24" s="13" t="s">
        <v>62</v>
      </c>
      <c r="P24" s="13" t="s">
        <v>63</v>
      </c>
      <c r="Q24" s="13" t="s">
        <v>64</v>
      </c>
      <c r="R24" s="13" t="s">
        <v>65</v>
      </c>
      <c r="S24" s="13" t="s">
        <v>165</v>
      </c>
      <c r="T24" s="15" t="s">
        <v>67</v>
      </c>
    </row>
    <row r="25" spans="1:20" x14ac:dyDescent="0.25">
      <c r="A25" s="16" t="s">
        <v>136</v>
      </c>
      <c r="B25" s="16" t="s">
        <v>137</v>
      </c>
      <c r="C25" s="16" t="s">
        <v>138</v>
      </c>
      <c r="D25" s="16" t="s">
        <v>71</v>
      </c>
      <c r="E25" s="16" t="s">
        <v>124</v>
      </c>
      <c r="F25" s="16" t="s">
        <v>132</v>
      </c>
      <c r="G25" s="34">
        <v>44819</v>
      </c>
      <c r="H25" s="17">
        <v>65500</v>
      </c>
      <c r="J25" s="16" t="s">
        <v>87</v>
      </c>
      <c r="K25" s="16" t="s">
        <v>142</v>
      </c>
      <c r="M25" s="16" t="s">
        <v>85</v>
      </c>
      <c r="N25" s="16" t="s">
        <v>86</v>
      </c>
      <c r="O25" s="16">
        <v>129675</v>
      </c>
      <c r="P25" s="16" t="s">
        <v>83</v>
      </c>
      <c r="Q25" s="16" t="s">
        <v>87</v>
      </c>
      <c r="R25" s="16" t="s">
        <v>79</v>
      </c>
      <c r="S25" s="31">
        <v>44531</v>
      </c>
      <c r="T25" s="17">
        <v>38500</v>
      </c>
    </row>
    <row r="26" spans="1:20" x14ac:dyDescent="0.25">
      <c r="M26" s="16" t="s">
        <v>92</v>
      </c>
      <c r="N26" s="16"/>
      <c r="O26" s="16" t="s">
        <v>93</v>
      </c>
      <c r="P26" s="16" t="s">
        <v>71</v>
      </c>
      <c r="Q26" s="16" t="s">
        <v>87</v>
      </c>
      <c r="R26" s="16" t="s">
        <v>79</v>
      </c>
      <c r="S26" s="31">
        <v>44582</v>
      </c>
      <c r="T26" s="17">
        <v>51550</v>
      </c>
    </row>
    <row r="27" spans="1:20" x14ac:dyDescent="0.25">
      <c r="A27" s="37" t="s">
        <v>161</v>
      </c>
      <c r="M27" s="16" t="s">
        <v>94</v>
      </c>
      <c r="N27" s="16" t="s">
        <v>95</v>
      </c>
      <c r="O27" s="16" t="s">
        <v>96</v>
      </c>
      <c r="P27" s="16" t="s">
        <v>78</v>
      </c>
      <c r="Q27" s="16" t="s">
        <v>87</v>
      </c>
      <c r="R27" s="16" t="s">
        <v>79</v>
      </c>
      <c r="S27" s="31">
        <v>45121</v>
      </c>
      <c r="T27" s="17">
        <v>38580</v>
      </c>
    </row>
    <row r="28" spans="1:20" x14ac:dyDescent="0.25">
      <c r="A28" s="2" t="s">
        <v>162</v>
      </c>
      <c r="M28" s="16" t="s">
        <v>105</v>
      </c>
      <c r="N28" s="16" t="s">
        <v>106</v>
      </c>
      <c r="O28" s="16">
        <v>500128</v>
      </c>
      <c r="P28" s="16" t="s">
        <v>107</v>
      </c>
      <c r="Q28" s="16" t="s">
        <v>87</v>
      </c>
      <c r="R28" s="16" t="s">
        <v>79</v>
      </c>
      <c r="S28" s="31">
        <v>44771</v>
      </c>
      <c r="T28" s="17">
        <v>49500</v>
      </c>
    </row>
    <row r="30" spans="1:20" x14ac:dyDescent="0.25">
      <c r="A30" s="14" t="s">
        <v>64</v>
      </c>
      <c r="C30" s="13" t="s">
        <v>60</v>
      </c>
      <c r="D30" s="13" t="s">
        <v>61</v>
      </c>
      <c r="E30" s="13" t="s">
        <v>62</v>
      </c>
      <c r="F30" s="13" t="s">
        <v>63</v>
      </c>
      <c r="G30" s="13" t="s">
        <v>64</v>
      </c>
      <c r="H30" s="13" t="s">
        <v>65</v>
      </c>
      <c r="I30" s="13" t="s">
        <v>165</v>
      </c>
      <c r="J30" s="15" t="s">
        <v>67</v>
      </c>
    </row>
    <row r="31" spans="1:20" x14ac:dyDescent="0.25">
      <c r="A31" s="16" t="s">
        <v>87</v>
      </c>
      <c r="C31" s="16" t="s">
        <v>68</v>
      </c>
      <c r="D31" s="16" t="s">
        <v>69</v>
      </c>
      <c r="E31" s="16" t="s">
        <v>70</v>
      </c>
      <c r="F31" s="16" t="s">
        <v>71</v>
      </c>
      <c r="G31" s="16" t="s">
        <v>72</v>
      </c>
      <c r="H31" s="16" t="s">
        <v>73</v>
      </c>
      <c r="I31" s="31">
        <v>44047</v>
      </c>
      <c r="J31" s="17">
        <v>45300</v>
      </c>
    </row>
    <row r="32" spans="1:20" x14ac:dyDescent="0.25">
      <c r="A32" s="16" t="s">
        <v>72</v>
      </c>
      <c r="C32" s="16" t="s">
        <v>75</v>
      </c>
      <c r="D32" s="16" t="s">
        <v>76</v>
      </c>
      <c r="E32" s="16" t="s">
        <v>77</v>
      </c>
      <c r="F32" s="16" t="s">
        <v>78</v>
      </c>
      <c r="G32" s="16" t="s">
        <v>72</v>
      </c>
      <c r="H32" s="16" t="s">
        <v>79</v>
      </c>
      <c r="I32" s="31">
        <v>45265</v>
      </c>
      <c r="J32" s="17">
        <v>75500</v>
      </c>
    </row>
    <row r="33" spans="1:16" x14ac:dyDescent="0.25">
      <c r="A33" s="38"/>
      <c r="C33" s="16" t="s">
        <v>81</v>
      </c>
      <c r="D33" s="16" t="s">
        <v>69</v>
      </c>
      <c r="E33" s="16" t="s">
        <v>82</v>
      </c>
      <c r="F33" s="16" t="s">
        <v>83</v>
      </c>
      <c r="G33" s="16" t="s">
        <v>72</v>
      </c>
      <c r="H33" s="16" t="s">
        <v>73</v>
      </c>
      <c r="I33" s="31">
        <v>44446</v>
      </c>
      <c r="J33" s="17">
        <v>35500</v>
      </c>
    </row>
    <row r="34" spans="1:16" x14ac:dyDescent="0.25">
      <c r="A34" s="38"/>
      <c r="C34" s="16" t="s">
        <v>85</v>
      </c>
      <c r="D34" s="16" t="s">
        <v>86</v>
      </c>
      <c r="E34" s="16">
        <v>129675</v>
      </c>
      <c r="F34" s="16" t="s">
        <v>83</v>
      </c>
      <c r="G34" s="16" t="s">
        <v>87</v>
      </c>
      <c r="H34" s="16" t="s">
        <v>79</v>
      </c>
      <c r="I34" s="31">
        <v>44531</v>
      </c>
      <c r="J34" s="17">
        <v>38500</v>
      </c>
    </row>
    <row r="35" spans="1:16" x14ac:dyDescent="0.25">
      <c r="A35" s="38"/>
      <c r="C35" s="16" t="s">
        <v>89</v>
      </c>
      <c r="D35" s="16" t="s">
        <v>90</v>
      </c>
      <c r="E35" s="16" t="s">
        <v>91</v>
      </c>
      <c r="F35" s="16" t="s">
        <v>78</v>
      </c>
      <c r="G35" s="16" t="s">
        <v>87</v>
      </c>
      <c r="H35" s="16" t="s">
        <v>73</v>
      </c>
      <c r="I35" s="31">
        <v>45186</v>
      </c>
      <c r="J35" s="17">
        <v>65400</v>
      </c>
    </row>
    <row r="36" spans="1:16" x14ac:dyDescent="0.25">
      <c r="A36" s="38"/>
      <c r="C36" s="16" t="s">
        <v>92</v>
      </c>
      <c r="D36" s="16"/>
      <c r="E36" s="16" t="s">
        <v>93</v>
      </c>
      <c r="F36" s="16" t="s">
        <v>71</v>
      </c>
      <c r="G36" s="16" t="s">
        <v>87</v>
      </c>
      <c r="H36" s="16" t="s">
        <v>79</v>
      </c>
      <c r="I36" s="31">
        <v>44582</v>
      </c>
      <c r="J36" s="17">
        <v>51550</v>
      </c>
    </row>
    <row r="37" spans="1:16" x14ac:dyDescent="0.25">
      <c r="A37" s="38"/>
      <c r="C37" s="16" t="s">
        <v>94</v>
      </c>
      <c r="D37" s="16" t="s">
        <v>95</v>
      </c>
      <c r="E37" s="16" t="s">
        <v>96</v>
      </c>
      <c r="F37" s="16" t="s">
        <v>78</v>
      </c>
      <c r="G37" s="16" t="s">
        <v>87</v>
      </c>
      <c r="H37" s="16" t="s">
        <v>79</v>
      </c>
      <c r="I37" s="31">
        <v>45121</v>
      </c>
      <c r="J37" s="17">
        <v>38580</v>
      </c>
    </row>
    <row r="38" spans="1:16" x14ac:dyDescent="0.25">
      <c r="A38" s="38"/>
      <c r="C38" s="16" t="s">
        <v>97</v>
      </c>
      <c r="D38" s="16" t="s">
        <v>98</v>
      </c>
      <c r="E38" s="16" t="s">
        <v>99</v>
      </c>
      <c r="F38" s="16" t="s">
        <v>78</v>
      </c>
      <c r="G38" s="16" t="s">
        <v>87</v>
      </c>
      <c r="H38" s="16" t="s">
        <v>100</v>
      </c>
      <c r="I38" s="31">
        <v>45208</v>
      </c>
      <c r="J38" s="17">
        <v>72500</v>
      </c>
    </row>
    <row r="39" spans="1:16" x14ac:dyDescent="0.25">
      <c r="A39" s="38"/>
      <c r="C39" s="16" t="s">
        <v>101</v>
      </c>
      <c r="D39" s="16"/>
      <c r="E39" s="16" t="s">
        <v>102</v>
      </c>
      <c r="F39" s="16" t="s">
        <v>78</v>
      </c>
      <c r="G39" s="16" t="s">
        <v>87</v>
      </c>
      <c r="H39" s="16" t="s">
        <v>103</v>
      </c>
      <c r="I39" s="31">
        <v>45211</v>
      </c>
      <c r="J39" s="17">
        <v>65500</v>
      </c>
    </row>
    <row r="40" spans="1:16" x14ac:dyDescent="0.25">
      <c r="A40" s="38"/>
      <c r="C40" s="16" t="s">
        <v>104</v>
      </c>
      <c r="D40" s="16"/>
      <c r="E40" s="16">
        <v>508967</v>
      </c>
      <c r="F40" s="16" t="s">
        <v>83</v>
      </c>
      <c r="G40" s="16" t="s">
        <v>87</v>
      </c>
      <c r="H40" s="16" t="s">
        <v>103</v>
      </c>
      <c r="I40" s="31">
        <v>44632</v>
      </c>
      <c r="J40" s="17">
        <v>45300</v>
      </c>
    </row>
    <row r="41" spans="1:16" x14ac:dyDescent="0.25">
      <c r="A41" s="38"/>
      <c r="C41" s="16" t="s">
        <v>105</v>
      </c>
      <c r="D41" s="16" t="s">
        <v>106</v>
      </c>
      <c r="E41" s="16">
        <v>500128</v>
      </c>
      <c r="F41" s="16" t="s">
        <v>107</v>
      </c>
      <c r="G41" s="16" t="s">
        <v>87</v>
      </c>
      <c r="H41" s="16" t="s">
        <v>79</v>
      </c>
      <c r="I41" s="31">
        <v>44771</v>
      </c>
      <c r="J41" s="17">
        <v>49500</v>
      </c>
    </row>
    <row r="42" spans="1:16" x14ac:dyDescent="0.25">
      <c r="G42" s="2"/>
      <c r="H42" s="2"/>
    </row>
    <row r="43" spans="1:16" x14ac:dyDescent="0.25">
      <c r="A43" s="37" t="s">
        <v>164</v>
      </c>
      <c r="G43" s="2"/>
      <c r="H43" s="2"/>
    </row>
    <row r="44" spans="1:16" x14ac:dyDescent="0.25">
      <c r="A44" s="2" t="s">
        <v>143</v>
      </c>
      <c r="I44" s="13" t="s">
        <v>60</v>
      </c>
      <c r="J44" s="13" t="s">
        <v>61</v>
      </c>
      <c r="K44" s="13" t="s">
        <v>62</v>
      </c>
      <c r="L44" s="13" t="s">
        <v>63</v>
      </c>
      <c r="M44" s="13" t="s">
        <v>64</v>
      </c>
      <c r="N44" s="13" t="s">
        <v>65</v>
      </c>
      <c r="O44" s="13" t="s">
        <v>165</v>
      </c>
      <c r="P44" s="15" t="s">
        <v>67</v>
      </c>
    </row>
    <row r="45" spans="1:16" x14ac:dyDescent="0.25">
      <c r="I45" s="16" t="s">
        <v>85</v>
      </c>
      <c r="J45" s="16" t="s">
        <v>86</v>
      </c>
      <c r="K45" s="16">
        <v>129675</v>
      </c>
      <c r="L45" s="16" t="s">
        <v>83</v>
      </c>
      <c r="M45" s="16" t="s">
        <v>87</v>
      </c>
      <c r="N45" s="16" t="s">
        <v>79</v>
      </c>
      <c r="O45" s="31">
        <v>44531</v>
      </c>
      <c r="P45" s="17">
        <v>38500</v>
      </c>
    </row>
    <row r="46" spans="1:16" x14ac:dyDescent="0.25">
      <c r="A46" s="14" t="s">
        <v>64</v>
      </c>
      <c r="B46" s="14" t="s">
        <v>141</v>
      </c>
      <c r="C46" s="14"/>
      <c r="G46" s="2"/>
      <c r="H46" s="2"/>
      <c r="I46" s="16" t="s">
        <v>92</v>
      </c>
      <c r="J46" s="16"/>
      <c r="K46" s="16" t="s">
        <v>93</v>
      </c>
      <c r="L46" s="16" t="s">
        <v>71</v>
      </c>
      <c r="M46" s="16" t="s">
        <v>87</v>
      </c>
      <c r="N46" s="16" t="s">
        <v>79</v>
      </c>
      <c r="O46" s="31">
        <v>44582</v>
      </c>
      <c r="P46" s="17">
        <v>51550</v>
      </c>
    </row>
    <row r="47" spans="1:16" x14ac:dyDescent="0.25">
      <c r="A47" s="16" t="s">
        <v>87</v>
      </c>
      <c r="B47" s="16" t="s">
        <v>142</v>
      </c>
      <c r="C47" s="16"/>
      <c r="G47" s="2"/>
      <c r="H47" s="2"/>
      <c r="I47" s="16" t="s">
        <v>94</v>
      </c>
      <c r="J47" s="16" t="s">
        <v>95</v>
      </c>
      <c r="K47" s="16" t="s">
        <v>96</v>
      </c>
      <c r="L47" s="16" t="s">
        <v>78</v>
      </c>
      <c r="M47" s="16" t="s">
        <v>87</v>
      </c>
      <c r="N47" s="16" t="s">
        <v>79</v>
      </c>
      <c r="O47" s="31">
        <v>45121</v>
      </c>
      <c r="P47" s="17">
        <v>38580</v>
      </c>
    </row>
    <row r="48" spans="1:16" x14ac:dyDescent="0.25">
      <c r="H48" s="2"/>
      <c r="I48" s="16" t="s">
        <v>105</v>
      </c>
      <c r="J48" s="16" t="s">
        <v>106</v>
      </c>
      <c r="K48" s="16">
        <v>500128</v>
      </c>
      <c r="L48" s="16" t="s">
        <v>107</v>
      </c>
      <c r="M48" s="16" t="s">
        <v>87</v>
      </c>
      <c r="N48" s="16" t="s">
        <v>79</v>
      </c>
      <c r="O48" s="31">
        <v>44771</v>
      </c>
      <c r="P48" s="17">
        <v>49500</v>
      </c>
    </row>
    <row r="49" spans="1:17" x14ac:dyDescent="0.25">
      <c r="H49" s="2"/>
    </row>
    <row r="50" spans="1:17" x14ac:dyDescent="0.25">
      <c r="A50" s="2" t="s">
        <v>166</v>
      </c>
      <c r="G50" s="13" t="s">
        <v>60</v>
      </c>
      <c r="H50" s="13" t="s">
        <v>61</v>
      </c>
      <c r="I50" s="13" t="s">
        <v>62</v>
      </c>
      <c r="J50" s="13" t="s">
        <v>63</v>
      </c>
      <c r="K50" s="13" t="s">
        <v>64</v>
      </c>
      <c r="L50" s="13" t="s">
        <v>65</v>
      </c>
      <c r="M50" s="13" t="s">
        <v>165</v>
      </c>
      <c r="N50" s="15" t="s">
        <v>67</v>
      </c>
      <c r="Q50"/>
    </row>
    <row r="51" spans="1:17" x14ac:dyDescent="0.25">
      <c r="G51" s="2"/>
      <c r="H51" s="2"/>
      <c r="O51"/>
      <c r="P51"/>
      <c r="Q51"/>
    </row>
    <row r="52" spans="1:17" x14ac:dyDescent="0.25">
      <c r="A52" s="20" t="s">
        <v>66</v>
      </c>
      <c r="G52" s="2"/>
      <c r="H52" s="2"/>
    </row>
    <row r="53" spans="1:17" x14ac:dyDescent="0.25">
      <c r="A53" s="16" t="s">
        <v>167</v>
      </c>
      <c r="G53" s="2"/>
      <c r="H53" s="2"/>
    </row>
    <row r="54" spans="1:17" x14ac:dyDescent="0.25">
      <c r="G54" s="2"/>
      <c r="H54" s="2"/>
    </row>
    <row r="55" spans="1:17" x14ac:dyDescent="0.25">
      <c r="G55" s="2"/>
      <c r="H55" s="2"/>
    </row>
    <row r="56" spans="1:17" x14ac:dyDescent="0.25">
      <c r="G56" s="2"/>
      <c r="H56" s="2"/>
    </row>
    <row r="57" spans="1:17" x14ac:dyDescent="0.25">
      <c r="G57" s="2"/>
      <c r="H57" s="2"/>
    </row>
    <row r="58" spans="1:17" x14ac:dyDescent="0.25">
      <c r="G58" s="2"/>
      <c r="H58" s="2"/>
    </row>
    <row r="59" spans="1:17" x14ac:dyDescent="0.25">
      <c r="G59" s="2"/>
      <c r="H59" s="2"/>
    </row>
    <row r="60" spans="1:17" x14ac:dyDescent="0.25">
      <c r="G60" s="2"/>
      <c r="H60" s="2"/>
    </row>
    <row r="61" spans="1:17" x14ac:dyDescent="0.25">
      <c r="G61" s="2"/>
      <c r="H61" s="2"/>
    </row>
    <row r="62" spans="1:17" x14ac:dyDescent="0.25">
      <c r="G62" s="2"/>
      <c r="H62" s="2"/>
    </row>
    <row r="63" spans="1:17" x14ac:dyDescent="0.25">
      <c r="G63" s="2"/>
      <c r="H63" s="2"/>
    </row>
    <row r="64" spans="1:17" x14ac:dyDescent="0.25">
      <c r="G64" s="2"/>
      <c r="H64" s="2"/>
    </row>
    <row r="65" spans="7:8" x14ac:dyDescent="0.25">
      <c r="G65" s="2"/>
      <c r="H65" s="2"/>
    </row>
    <row r="66" spans="7:8" x14ac:dyDescent="0.25">
      <c r="G66" s="2"/>
      <c r="H66" s="2"/>
    </row>
    <row r="67" spans="7:8" x14ac:dyDescent="0.25">
      <c r="H67" s="2"/>
    </row>
    <row r="68" spans="7:8" x14ac:dyDescent="0.25">
      <c r="H68" s="2"/>
    </row>
    <row r="69" spans="7:8" x14ac:dyDescent="0.25">
      <c r="H69" s="2"/>
    </row>
    <row r="70" spans="7:8" x14ac:dyDescent="0.25">
      <c r="H70" s="2"/>
    </row>
    <row r="71" spans="7:8" x14ac:dyDescent="0.25">
      <c r="H71" s="2"/>
    </row>
    <row r="72" spans="7:8" x14ac:dyDescent="0.25">
      <c r="H72" s="2"/>
    </row>
    <row r="73" spans="7:8" x14ac:dyDescent="0.25">
      <c r="H7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3C43-C1A4-421E-8614-1EA972B6273D}">
  <dimension ref="A1:AQ26"/>
  <sheetViews>
    <sheetView tabSelected="1" topLeftCell="C1" workbookViewId="0">
      <selection activeCell="J8" sqref="J8"/>
    </sheetView>
  </sheetViews>
  <sheetFormatPr defaultColWidth="8.85546875" defaultRowHeight="18" x14ac:dyDescent="0.25"/>
  <cols>
    <col min="1" max="1" width="17.7109375" style="2" bestFit="1" customWidth="1"/>
    <col min="2" max="2" width="34.42578125" style="2" bestFit="1" customWidth="1"/>
    <col min="3" max="3" width="12.5703125" style="2" bestFit="1" customWidth="1"/>
    <col min="4" max="4" width="14.28515625" style="2" bestFit="1" customWidth="1"/>
    <col min="5" max="5" width="8" style="2" bestFit="1" customWidth="1"/>
    <col min="6" max="6" width="30.140625" style="2" bestFit="1" customWidth="1"/>
    <col min="7" max="7" width="13.28515625" style="2" bestFit="1" customWidth="1"/>
    <col min="8" max="8" width="10.28515625" style="2" bestFit="1" customWidth="1"/>
    <col min="9" max="9" width="8.85546875" style="2"/>
    <col min="10" max="10" width="12.42578125" style="2" bestFit="1" customWidth="1"/>
    <col min="11" max="11" width="11.5703125" style="2" bestFit="1" customWidth="1"/>
    <col min="12" max="12" width="12.5703125" style="2" bestFit="1" customWidth="1"/>
    <col min="13" max="13" width="14.28515625" style="2" bestFit="1" customWidth="1"/>
    <col min="14" max="14" width="8" style="2" bestFit="1" customWidth="1"/>
    <col min="15" max="15" width="12.7109375" style="2" bestFit="1" customWidth="1"/>
    <col min="16" max="16" width="7.7109375" style="2" bestFit="1" customWidth="1"/>
    <col min="17" max="16384" width="8.85546875" style="2"/>
  </cols>
  <sheetData>
    <row r="1" spans="1:43" x14ac:dyDescent="0.25">
      <c r="A1" s="21" t="s">
        <v>144</v>
      </c>
      <c r="B1" s="21" t="s">
        <v>145</v>
      </c>
      <c r="C1"/>
      <c r="D1"/>
    </row>
    <row r="3" spans="1:43" x14ac:dyDescent="0.25">
      <c r="A3" s="22" t="s">
        <v>60</v>
      </c>
      <c r="B3" s="22" t="s">
        <v>61</v>
      </c>
      <c r="C3" s="22" t="s">
        <v>62</v>
      </c>
      <c r="D3" s="22" t="s">
        <v>63</v>
      </c>
      <c r="E3" s="22" t="s">
        <v>64</v>
      </c>
      <c r="F3" s="22" t="s">
        <v>65</v>
      </c>
      <c r="G3" s="22" t="s">
        <v>165</v>
      </c>
      <c r="H3" s="24" t="s">
        <v>67</v>
      </c>
      <c r="J3" s="22" t="s">
        <v>64</v>
      </c>
    </row>
    <row r="4" spans="1:43" x14ac:dyDescent="0.25">
      <c r="A4" s="16" t="s">
        <v>68</v>
      </c>
      <c r="B4" s="16" t="s">
        <v>69</v>
      </c>
      <c r="C4" s="16" t="s">
        <v>70</v>
      </c>
      <c r="D4" s="16" t="s">
        <v>71</v>
      </c>
      <c r="E4" s="16" t="s">
        <v>72</v>
      </c>
      <c r="F4" s="16" t="s">
        <v>73</v>
      </c>
      <c r="G4" s="31">
        <v>44047</v>
      </c>
      <c r="H4" s="17">
        <v>45300</v>
      </c>
      <c r="J4" s="16" t="s">
        <v>124</v>
      </c>
    </row>
    <row r="5" spans="1:43" x14ac:dyDescent="0.25">
      <c r="A5" s="16" t="s">
        <v>75</v>
      </c>
      <c r="B5" s="16" t="s">
        <v>76</v>
      </c>
      <c r="C5" s="16" t="s">
        <v>77</v>
      </c>
      <c r="D5" s="16" t="s">
        <v>78</v>
      </c>
      <c r="E5" s="16" t="s">
        <v>72</v>
      </c>
      <c r="F5" s="16" t="s">
        <v>79</v>
      </c>
      <c r="G5" s="31">
        <v>45265</v>
      </c>
      <c r="H5" s="17">
        <v>75500</v>
      </c>
    </row>
    <row r="6" spans="1:43" x14ac:dyDescent="0.25">
      <c r="A6" s="16" t="s">
        <v>81</v>
      </c>
      <c r="B6" s="16" t="s">
        <v>69</v>
      </c>
      <c r="C6" s="16" t="s">
        <v>82</v>
      </c>
      <c r="D6" s="16" t="s">
        <v>83</v>
      </c>
      <c r="E6" s="16" t="s">
        <v>72</v>
      </c>
      <c r="F6" s="16" t="s">
        <v>73</v>
      </c>
      <c r="G6" s="31">
        <v>44446</v>
      </c>
      <c r="H6" s="17">
        <v>35500</v>
      </c>
      <c r="J6" s="22" t="s">
        <v>60</v>
      </c>
      <c r="K6" s="22" t="s">
        <v>61</v>
      </c>
      <c r="L6" s="22" t="s">
        <v>62</v>
      </c>
      <c r="M6" s="22" t="s">
        <v>63</v>
      </c>
      <c r="N6" s="22" t="s">
        <v>64</v>
      </c>
      <c r="O6" s="22" t="s">
        <v>65</v>
      </c>
      <c r="P6" s="23" t="s">
        <v>66</v>
      </c>
      <c r="Q6" s="24" t="s">
        <v>67</v>
      </c>
    </row>
    <row r="7" spans="1:43" x14ac:dyDescent="0.25">
      <c r="A7" s="16" t="s">
        <v>85</v>
      </c>
      <c r="B7" s="16" t="s">
        <v>86</v>
      </c>
      <c r="C7" s="16">
        <v>129675</v>
      </c>
      <c r="D7" s="16" t="s">
        <v>83</v>
      </c>
      <c r="E7" s="16" t="s">
        <v>87</v>
      </c>
      <c r="F7" s="16" t="s">
        <v>79</v>
      </c>
      <c r="G7" s="31">
        <v>44531</v>
      </c>
      <c r="H7" s="17">
        <v>38500</v>
      </c>
      <c r="J7" t="str" cm="1">
        <f t="array" ref="J7:Q13">_xlfn._xlws.FILTER(A3:H26,E3:E26=J4)</f>
        <v>Arun Kumar</v>
      </c>
      <c r="K7" t="str">
        <v>Singh</v>
      </c>
      <c r="L7">
        <v>510298</v>
      </c>
      <c r="M7" t="str">
        <v>Officer</v>
      </c>
      <c r="N7" t="str">
        <v>SNTI</v>
      </c>
      <c r="O7" t="str">
        <v>ADMIN</v>
      </c>
      <c r="P7">
        <v>45059</v>
      </c>
      <c r="Q7">
        <v>76000</v>
      </c>
      <c r="R7"/>
    </row>
    <row r="8" spans="1:43" x14ac:dyDescent="0.25">
      <c r="A8" s="16" t="s">
        <v>89</v>
      </c>
      <c r="B8" s="16" t="s">
        <v>90</v>
      </c>
      <c r="C8" s="16" t="s">
        <v>91</v>
      </c>
      <c r="D8" s="16" t="s">
        <v>78</v>
      </c>
      <c r="E8" s="16" t="s">
        <v>87</v>
      </c>
      <c r="F8" s="16" t="s">
        <v>73</v>
      </c>
      <c r="G8" s="31">
        <v>45186</v>
      </c>
      <c r="H8" s="17">
        <v>65400</v>
      </c>
      <c r="J8" t="str">
        <v>Sarvesh</v>
      </c>
      <c r="K8" t="str">
        <v>Khanna</v>
      </c>
      <c r="L8">
        <v>120356</v>
      </c>
      <c r="M8" t="str">
        <v>Head</v>
      </c>
      <c r="N8" t="str">
        <v>SNTI</v>
      </c>
      <c r="O8" t="str">
        <v>ADMIN</v>
      </c>
      <c r="P8">
        <v>43926</v>
      </c>
      <c r="Q8">
        <v>67000</v>
      </c>
      <c r="R8"/>
    </row>
    <row r="9" spans="1:43" x14ac:dyDescent="0.25">
      <c r="A9" s="16" t="s">
        <v>92</v>
      </c>
      <c r="B9" s="16"/>
      <c r="C9" s="16" t="s">
        <v>93</v>
      </c>
      <c r="D9" s="16" t="s">
        <v>71</v>
      </c>
      <c r="E9" s="16" t="s">
        <v>87</v>
      </c>
      <c r="F9" s="16" t="s">
        <v>79</v>
      </c>
      <c r="G9" s="31">
        <v>44582</v>
      </c>
      <c r="H9" s="17">
        <v>51550</v>
      </c>
      <c r="J9" t="str">
        <v>Karishma</v>
      </c>
      <c r="K9" t="str">
        <v>Kumari</v>
      </c>
      <c r="L9">
        <v>110251</v>
      </c>
      <c r="M9" t="str">
        <v>Officer</v>
      </c>
      <c r="N9" t="str">
        <v>SNTI</v>
      </c>
      <c r="O9" t="str">
        <v>ITA</v>
      </c>
      <c r="P9">
        <v>44096</v>
      </c>
      <c r="Q9">
        <v>52500</v>
      </c>
      <c r="R9"/>
    </row>
    <row r="10" spans="1:43" x14ac:dyDescent="0.25">
      <c r="A10" s="16" t="s">
        <v>94</v>
      </c>
      <c r="B10" s="16" t="s">
        <v>95</v>
      </c>
      <c r="C10" s="16" t="s">
        <v>96</v>
      </c>
      <c r="D10" s="16" t="s">
        <v>78</v>
      </c>
      <c r="E10" s="16" t="s">
        <v>87</v>
      </c>
      <c r="F10" s="16" t="s">
        <v>79</v>
      </c>
      <c r="G10" s="31">
        <v>45121</v>
      </c>
      <c r="H10" s="17">
        <v>38580</v>
      </c>
      <c r="J10" t="str">
        <v>Lalit</v>
      </c>
      <c r="K10" t="str">
        <v>Kumar</v>
      </c>
      <c r="L10">
        <v>405634</v>
      </c>
      <c r="M10" t="str">
        <v>Manager</v>
      </c>
      <c r="N10" t="str">
        <v>SNTI</v>
      </c>
      <c r="O10" t="str">
        <v>ITA</v>
      </c>
      <c r="P10">
        <v>44315</v>
      </c>
      <c r="Q10">
        <v>48500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x14ac:dyDescent="0.25">
      <c r="A11" s="16" t="s">
        <v>97</v>
      </c>
      <c r="B11" s="16" t="s">
        <v>98</v>
      </c>
      <c r="C11" s="16" t="s">
        <v>99</v>
      </c>
      <c r="D11" s="16" t="s">
        <v>78</v>
      </c>
      <c r="E11" s="16" t="s">
        <v>87</v>
      </c>
      <c r="F11" s="16" t="s">
        <v>100</v>
      </c>
      <c r="G11" s="31">
        <v>45208</v>
      </c>
      <c r="H11" s="17">
        <v>72500</v>
      </c>
      <c r="J11" t="str">
        <v>Srinivas</v>
      </c>
      <c r="K11" t="str">
        <v>Rao</v>
      </c>
      <c r="L11">
        <v>122445</v>
      </c>
      <c r="M11" t="str">
        <v>AsstMgr</v>
      </c>
      <c r="N11" t="str">
        <v>SNTI</v>
      </c>
      <c r="O11" t="str">
        <v>Mechanical</v>
      </c>
      <c r="P11">
        <v>44511</v>
      </c>
      <c r="Q11">
        <v>45350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25">
      <c r="A12" s="16" t="s">
        <v>101</v>
      </c>
      <c r="B12" s="16"/>
      <c r="C12" s="16" t="s">
        <v>102</v>
      </c>
      <c r="D12" s="16" t="s">
        <v>78</v>
      </c>
      <c r="E12" s="16" t="s">
        <v>87</v>
      </c>
      <c r="F12" s="16" t="s">
        <v>103</v>
      </c>
      <c r="G12" s="31">
        <v>45211</v>
      </c>
      <c r="H12" s="17">
        <v>65500</v>
      </c>
      <c r="J12" t="str">
        <v>Jitendra</v>
      </c>
      <c r="K12" t="str">
        <v>Pathak</v>
      </c>
      <c r="L12">
        <v>110456</v>
      </c>
      <c r="M12" t="str">
        <v>AsstMgr</v>
      </c>
      <c r="N12" t="str">
        <v>SNTI</v>
      </c>
      <c r="O12" t="str">
        <v>Electrical</v>
      </c>
      <c r="P12">
        <v>44794</v>
      </c>
      <c r="Q12">
        <v>62550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x14ac:dyDescent="0.25">
      <c r="A13" s="16" t="s">
        <v>104</v>
      </c>
      <c r="B13" s="16"/>
      <c r="C13" s="16">
        <v>508967</v>
      </c>
      <c r="D13" s="16" t="s">
        <v>83</v>
      </c>
      <c r="E13" s="16" t="s">
        <v>87</v>
      </c>
      <c r="F13" s="16" t="s">
        <v>103</v>
      </c>
      <c r="G13" s="31">
        <v>44632</v>
      </c>
      <c r="H13" s="17">
        <v>45300</v>
      </c>
      <c r="J13" t="str">
        <v>Biswajit</v>
      </c>
      <c r="K13" t="str">
        <v>Narayan</v>
      </c>
      <c r="L13" t="str">
        <v>BBAERO</v>
      </c>
      <c r="M13" t="str">
        <v>Manager</v>
      </c>
      <c r="N13" t="str">
        <v>SNTI</v>
      </c>
      <c r="O13" t="str">
        <v>Mechanical</v>
      </c>
      <c r="P13">
        <v>44819</v>
      </c>
      <c r="Q13">
        <v>65500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x14ac:dyDescent="0.25">
      <c r="A14" s="16" t="s">
        <v>105</v>
      </c>
      <c r="B14" s="16" t="s">
        <v>106</v>
      </c>
      <c r="C14" s="16">
        <v>500128</v>
      </c>
      <c r="D14" s="16" t="s">
        <v>107</v>
      </c>
      <c r="E14" s="16" t="s">
        <v>87</v>
      </c>
      <c r="F14" s="16" t="s">
        <v>79</v>
      </c>
      <c r="G14" s="31">
        <v>44771</v>
      </c>
      <c r="H14" s="17">
        <v>49500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x14ac:dyDescent="0.25">
      <c r="A15" s="16" t="s">
        <v>108</v>
      </c>
      <c r="B15" s="16" t="s">
        <v>109</v>
      </c>
      <c r="C15" s="16" t="s">
        <v>110</v>
      </c>
      <c r="D15" s="16" t="s">
        <v>71</v>
      </c>
      <c r="E15" s="16" t="s">
        <v>111</v>
      </c>
      <c r="F15" s="16" t="s">
        <v>79</v>
      </c>
      <c r="G15" s="31">
        <v>45146</v>
      </c>
      <c r="H15" s="17">
        <v>58500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x14ac:dyDescent="0.25">
      <c r="A16" s="16" t="s">
        <v>112</v>
      </c>
      <c r="B16" s="16" t="s">
        <v>69</v>
      </c>
      <c r="C16" s="16" t="s">
        <v>113</v>
      </c>
      <c r="D16" s="16" t="s">
        <v>78</v>
      </c>
      <c r="E16" s="16" t="s">
        <v>111</v>
      </c>
      <c r="F16" s="16" t="s">
        <v>73</v>
      </c>
      <c r="G16" s="31">
        <v>44264</v>
      </c>
      <c r="H16" s="17">
        <v>56000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x14ac:dyDescent="0.25">
      <c r="A17" s="16" t="s">
        <v>114</v>
      </c>
      <c r="B17" s="16" t="s">
        <v>115</v>
      </c>
      <c r="C17" s="16" t="s">
        <v>116</v>
      </c>
      <c r="D17" s="16" t="s">
        <v>71</v>
      </c>
      <c r="E17" s="16" t="s">
        <v>111</v>
      </c>
      <c r="F17" s="16" t="s">
        <v>117</v>
      </c>
      <c r="G17" s="31">
        <v>45152</v>
      </c>
      <c r="H17" s="17">
        <v>75800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x14ac:dyDescent="0.25">
      <c r="A18" s="16" t="s">
        <v>118</v>
      </c>
      <c r="B18" s="16" t="s">
        <v>119</v>
      </c>
      <c r="C18" s="16">
        <v>178654</v>
      </c>
      <c r="D18" s="16" t="s">
        <v>78</v>
      </c>
      <c r="E18" s="16" t="s">
        <v>111</v>
      </c>
      <c r="F18" s="16" t="s">
        <v>117</v>
      </c>
      <c r="G18" s="31">
        <v>44412</v>
      </c>
      <c r="H18" s="17">
        <v>73300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x14ac:dyDescent="0.25">
      <c r="A19" s="16" t="s">
        <v>114</v>
      </c>
      <c r="B19" s="16" t="s">
        <v>120</v>
      </c>
      <c r="C19" s="16">
        <v>104057</v>
      </c>
      <c r="D19" s="16" t="s">
        <v>78</v>
      </c>
      <c r="E19" s="16" t="s">
        <v>111</v>
      </c>
      <c r="F19" s="16" t="s">
        <v>121</v>
      </c>
      <c r="G19" s="31">
        <v>44968</v>
      </c>
      <c r="H19" s="17">
        <v>44500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x14ac:dyDescent="0.25">
      <c r="A20" s="16" t="s">
        <v>122</v>
      </c>
      <c r="B20" s="16" t="s">
        <v>123</v>
      </c>
      <c r="C20" s="16">
        <v>510298</v>
      </c>
      <c r="D20" s="16" t="s">
        <v>78</v>
      </c>
      <c r="E20" s="16" t="s">
        <v>124</v>
      </c>
      <c r="F20" s="16" t="s">
        <v>79</v>
      </c>
      <c r="G20" s="31">
        <v>45059</v>
      </c>
      <c r="H20" s="17">
        <v>76000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x14ac:dyDescent="0.25">
      <c r="A21" s="16" t="s">
        <v>125</v>
      </c>
      <c r="B21" s="16" t="s">
        <v>126</v>
      </c>
      <c r="C21" s="16">
        <v>120356</v>
      </c>
      <c r="D21" s="16" t="s">
        <v>107</v>
      </c>
      <c r="E21" s="16" t="s">
        <v>124</v>
      </c>
      <c r="F21" s="16" t="s">
        <v>79</v>
      </c>
      <c r="G21" s="31">
        <v>43926</v>
      </c>
      <c r="H21" s="17">
        <v>67000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x14ac:dyDescent="0.25">
      <c r="A22" s="16" t="s">
        <v>127</v>
      </c>
      <c r="B22" s="16" t="s">
        <v>128</v>
      </c>
      <c r="C22" s="16">
        <v>110251</v>
      </c>
      <c r="D22" s="16" t="s">
        <v>78</v>
      </c>
      <c r="E22" s="16" t="s">
        <v>124</v>
      </c>
      <c r="F22" s="16" t="s">
        <v>129</v>
      </c>
      <c r="G22" s="31">
        <v>44096</v>
      </c>
      <c r="H22" s="17">
        <v>52500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x14ac:dyDescent="0.25">
      <c r="A23" s="16" t="s">
        <v>130</v>
      </c>
      <c r="B23" s="16" t="s">
        <v>69</v>
      </c>
      <c r="C23" s="16">
        <v>405634</v>
      </c>
      <c r="D23" s="16" t="s">
        <v>71</v>
      </c>
      <c r="E23" s="16" t="s">
        <v>124</v>
      </c>
      <c r="F23" s="16" t="s">
        <v>129</v>
      </c>
      <c r="G23" s="31">
        <v>44315</v>
      </c>
      <c r="H23" s="17">
        <v>48500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x14ac:dyDescent="0.25">
      <c r="A24" s="16" t="s">
        <v>131</v>
      </c>
      <c r="B24" s="16" t="s">
        <v>109</v>
      </c>
      <c r="C24" s="16">
        <v>122445</v>
      </c>
      <c r="D24" s="16" t="s">
        <v>83</v>
      </c>
      <c r="E24" s="16" t="s">
        <v>124</v>
      </c>
      <c r="F24" s="16" t="s">
        <v>132</v>
      </c>
      <c r="G24" s="31">
        <v>44511</v>
      </c>
      <c r="H24" s="17">
        <v>45350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x14ac:dyDescent="0.25">
      <c r="A25" s="16" t="s">
        <v>133</v>
      </c>
      <c r="B25" s="16" t="s">
        <v>134</v>
      </c>
      <c r="C25" s="16">
        <v>110456</v>
      </c>
      <c r="D25" s="16" t="s">
        <v>83</v>
      </c>
      <c r="E25" s="16" t="s">
        <v>124</v>
      </c>
      <c r="F25" s="16" t="s">
        <v>135</v>
      </c>
      <c r="G25" s="31">
        <v>44794</v>
      </c>
      <c r="H25" s="17">
        <v>62550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x14ac:dyDescent="0.25">
      <c r="A26" s="16" t="s">
        <v>136</v>
      </c>
      <c r="B26" s="16" t="s">
        <v>137</v>
      </c>
      <c r="C26" s="16" t="s">
        <v>138</v>
      </c>
      <c r="D26" s="16" t="s">
        <v>71</v>
      </c>
      <c r="E26" s="16" t="s">
        <v>124</v>
      </c>
      <c r="F26" s="16" t="s">
        <v>132</v>
      </c>
      <c r="G26" s="34">
        <v>44819</v>
      </c>
      <c r="H26" s="17">
        <v>65500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</sheetData>
  <dataValidations count="1">
    <dataValidation type="list" allowBlank="1" showInputMessage="1" showErrorMessage="1" sqref="J4" xr:uid="{D39A84C6-8F98-4749-93AA-D087AB26F07B}">
      <formula1>"HRM,ITS,LD3,SNTI"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EA55-C6A7-47B9-8CC0-4DE1EE975F7C}">
  <dimension ref="A1:M11"/>
  <sheetViews>
    <sheetView workbookViewId="0">
      <selection activeCell="C3" sqref="C3"/>
    </sheetView>
  </sheetViews>
  <sheetFormatPr defaultColWidth="8.85546875" defaultRowHeight="18" x14ac:dyDescent="0.25"/>
  <cols>
    <col min="1" max="1" width="10.7109375" style="2" bestFit="1" customWidth="1"/>
    <col min="2" max="2" width="14.140625" style="2" bestFit="1" customWidth="1"/>
    <col min="3" max="5" width="8.85546875" style="2"/>
    <col min="6" max="6" width="13.5703125" style="2" bestFit="1" customWidth="1"/>
    <col min="7" max="7" width="9.5703125" style="2" bestFit="1" customWidth="1"/>
    <col min="8" max="16384" width="8.85546875" style="2"/>
  </cols>
  <sheetData>
    <row r="1" spans="1:13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J1" s="25" t="s">
        <v>146</v>
      </c>
    </row>
    <row r="2" spans="1:13" x14ac:dyDescent="0.25">
      <c r="A2" s="6">
        <v>40469</v>
      </c>
      <c r="B2" s="7" t="s">
        <v>18</v>
      </c>
      <c r="C2" s="8" t="s">
        <v>19</v>
      </c>
      <c r="D2" s="8" t="s">
        <v>27</v>
      </c>
      <c r="E2" s="26" t="s">
        <v>47</v>
      </c>
      <c r="F2" s="8">
        <v>24</v>
      </c>
      <c r="G2" s="9">
        <v>528.5</v>
      </c>
      <c r="H2" s="9">
        <v>240.35</v>
      </c>
      <c r="J2" s="2" t="s">
        <v>147</v>
      </c>
    </row>
    <row r="3" spans="1:13" x14ac:dyDescent="0.25">
      <c r="A3" s="6">
        <v>41619</v>
      </c>
      <c r="B3" s="7" t="s">
        <v>18</v>
      </c>
      <c r="C3" s="8" t="s">
        <v>19</v>
      </c>
      <c r="D3" s="8" t="s">
        <v>20</v>
      </c>
      <c r="E3" s="28" t="s">
        <v>21</v>
      </c>
      <c r="F3" s="8">
        <v>6</v>
      </c>
      <c r="G3" s="9">
        <v>114.53</v>
      </c>
      <c r="H3" s="9">
        <v>48.26</v>
      </c>
      <c r="J3" s="2" t="s">
        <v>148</v>
      </c>
    </row>
    <row r="4" spans="1:13" x14ac:dyDescent="0.25">
      <c r="A4" s="6">
        <v>41577</v>
      </c>
      <c r="B4" s="7" t="s">
        <v>14</v>
      </c>
      <c r="C4" s="8" t="s">
        <v>15</v>
      </c>
      <c r="D4" s="8" t="s">
        <v>22</v>
      </c>
      <c r="E4" s="27" t="s">
        <v>30</v>
      </c>
      <c r="F4" s="8">
        <v>38</v>
      </c>
      <c r="G4" s="9">
        <v>722.22</v>
      </c>
      <c r="H4" s="9">
        <v>304.06</v>
      </c>
      <c r="J4" s="2" t="s">
        <v>149</v>
      </c>
    </row>
    <row r="5" spans="1:13" x14ac:dyDescent="0.25">
      <c r="A5" s="6">
        <v>40417</v>
      </c>
      <c r="B5" s="7" t="s">
        <v>18</v>
      </c>
      <c r="C5" s="8" t="s">
        <v>31</v>
      </c>
      <c r="D5" s="8" t="s">
        <v>32</v>
      </c>
      <c r="E5" s="27" t="s">
        <v>30</v>
      </c>
      <c r="F5" s="8">
        <v>20</v>
      </c>
      <c r="G5" s="9">
        <v>5000</v>
      </c>
      <c r="H5" s="9">
        <v>220.63</v>
      </c>
      <c r="J5" s="2" t="s">
        <v>150</v>
      </c>
    </row>
    <row r="6" spans="1:13" x14ac:dyDescent="0.25">
      <c r="A6" s="6">
        <v>40364</v>
      </c>
      <c r="B6" s="7" t="s">
        <v>14</v>
      </c>
      <c r="C6" s="8" t="s">
        <v>19</v>
      </c>
      <c r="D6" s="8" t="s">
        <v>22</v>
      </c>
      <c r="E6" s="8" t="s">
        <v>51</v>
      </c>
      <c r="F6" s="8">
        <v>30</v>
      </c>
      <c r="G6" s="9">
        <v>810.71</v>
      </c>
      <c r="H6" s="9">
        <v>435.64</v>
      </c>
      <c r="J6" s="2" t="s">
        <v>150</v>
      </c>
    </row>
    <row r="7" spans="1:13" x14ac:dyDescent="0.25">
      <c r="A7" s="6">
        <v>40918</v>
      </c>
      <c r="B7" s="7" t="s">
        <v>18</v>
      </c>
      <c r="C7" s="8" t="s">
        <v>19</v>
      </c>
      <c r="D7" s="8" t="s">
        <v>22</v>
      </c>
      <c r="E7" s="8" t="s">
        <v>41</v>
      </c>
      <c r="F7" s="8">
        <v>23</v>
      </c>
      <c r="G7" s="9">
        <v>483.58</v>
      </c>
      <c r="H7" s="9">
        <v>213.57</v>
      </c>
      <c r="J7" s="2" t="s">
        <v>151</v>
      </c>
    </row>
    <row r="8" spans="1:13" x14ac:dyDescent="0.25">
      <c r="A8" s="6">
        <v>40944</v>
      </c>
      <c r="B8" s="7" t="s">
        <v>14</v>
      </c>
      <c r="C8" s="8" t="s">
        <v>29</v>
      </c>
      <c r="D8" s="8" t="s">
        <v>22</v>
      </c>
      <c r="E8" s="8" t="s">
        <v>55</v>
      </c>
      <c r="F8" s="8">
        <v>19</v>
      </c>
      <c r="G8" s="9">
        <v>418.54</v>
      </c>
      <c r="H8" s="9">
        <v>190.05</v>
      </c>
    </row>
    <row r="9" spans="1:13" x14ac:dyDescent="0.25">
      <c r="A9" s="6">
        <v>41524</v>
      </c>
      <c r="B9" s="7" t="s">
        <v>14</v>
      </c>
      <c r="C9" s="8" t="s">
        <v>29</v>
      </c>
      <c r="D9" s="8" t="s">
        <v>37</v>
      </c>
      <c r="E9" s="8" t="s">
        <v>38</v>
      </c>
      <c r="F9" s="8">
        <v>12</v>
      </c>
      <c r="G9" s="9">
        <v>228.89</v>
      </c>
      <c r="H9" s="9">
        <v>96.02</v>
      </c>
    </row>
    <row r="10" spans="1:13" x14ac:dyDescent="0.25">
      <c r="A10" s="6">
        <v>40604</v>
      </c>
      <c r="B10" s="7" t="s">
        <v>18</v>
      </c>
      <c r="C10" s="8" t="s">
        <v>15</v>
      </c>
      <c r="D10" s="8" t="s">
        <v>20</v>
      </c>
      <c r="E10" s="8" t="s">
        <v>43</v>
      </c>
      <c r="F10" s="8">
        <v>29</v>
      </c>
      <c r="G10" s="9">
        <v>609.12</v>
      </c>
      <c r="H10" s="9">
        <v>269.16000000000003</v>
      </c>
      <c r="M10" s="2" t="s">
        <v>169</v>
      </c>
    </row>
    <row r="11" spans="1:13" x14ac:dyDescent="0.25">
      <c r="A11" s="6">
        <v>41548</v>
      </c>
      <c r="B11" s="7" t="s">
        <v>25</v>
      </c>
      <c r="C11" s="8" t="s">
        <v>31</v>
      </c>
      <c r="D11" s="8" t="s">
        <v>20</v>
      </c>
      <c r="E11" s="8" t="s">
        <v>34</v>
      </c>
      <c r="F11" s="8">
        <v>16</v>
      </c>
      <c r="G11" s="9">
        <v>1432.17</v>
      </c>
      <c r="H11" s="9">
        <v>232.99</v>
      </c>
    </row>
  </sheetData>
  <sortState xmlns:xlrd2="http://schemas.microsoft.com/office/spreadsheetml/2017/richdata2" ref="A2:H11">
    <sortCondition sortBy="cellColor" ref="E2:E11" dxfId="2"/>
    <sortCondition sortBy="cellColor" ref="E2:E11" dxfId="1"/>
    <sortCondition sortBy="cellColor" ref="E2:E11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Task</vt:lpstr>
      <vt:lpstr>Filter</vt:lpstr>
      <vt:lpstr>Sheet1</vt:lpstr>
      <vt:lpstr>Table Formatting</vt:lpstr>
      <vt:lpstr>Advance Filter</vt:lpstr>
      <vt:lpstr>Filter Function</vt:lpstr>
      <vt:lpstr>Sort</vt:lpstr>
      <vt:lpstr>'Advance Filter'!Criteria</vt:lpstr>
      <vt:lpstr>'Advance Filter'!Extract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Jahnvi Patel</dc:creator>
  <cp:lastModifiedBy>Satej Bhogate</cp:lastModifiedBy>
  <dcterms:created xsi:type="dcterms:W3CDTF">2024-01-04T08:37:37Z</dcterms:created>
  <dcterms:modified xsi:type="dcterms:W3CDTF">2025-08-08T06:32:48Z</dcterms:modified>
</cp:coreProperties>
</file>